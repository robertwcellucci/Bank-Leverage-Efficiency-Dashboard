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ce\Desktop\Excel Dashboard Project\"/>
    </mc:Choice>
  </mc:AlternateContent>
  <xr:revisionPtr revIDLastSave="0" documentId="13_ncr:1_{AA81E7EB-57B5-42B6-AFD0-320E4385AE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8" r:id="rId1"/>
    <sheet name="State_v_National" sheetId="5" r:id="rId2"/>
    <sheet name="dashboard_data_raw" sheetId="1" state="hidden" r:id="rId3"/>
    <sheet name="companies" sheetId="2" state="hidden" r:id="rId4"/>
    <sheet name="financials_wide" sheetId="4" state="hidden" r:id="rId5"/>
    <sheet name="financials" sheetId="3" state="hidden" r:id="rId6"/>
  </sheets>
  <definedNames>
    <definedName name="ExternalData_1" localSheetId="3" hidden="1">'companies'!$A$1:$G$261</definedName>
    <definedName name="ExternalData_2" localSheetId="5" hidden="1">financials!$A$1:$I$1520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 s="1"/>
  <c r="S3" i="1"/>
  <c r="R3" i="1" s="1"/>
  <c r="S4" i="1"/>
  <c r="R4" i="1" s="1"/>
  <c r="S5" i="1"/>
  <c r="R5" i="1" s="1"/>
  <c r="S6" i="1"/>
  <c r="R6" i="1" s="1"/>
  <c r="S7" i="1"/>
  <c r="R7" i="1" s="1"/>
  <c r="S8" i="1"/>
  <c r="R8" i="1" s="1"/>
  <c r="S9" i="1"/>
  <c r="R9" i="1" s="1"/>
  <c r="S10" i="1"/>
  <c r="R10" i="1" s="1"/>
  <c r="S11" i="1"/>
  <c r="R11" i="1" s="1"/>
  <c r="S12" i="1"/>
  <c r="R12" i="1" s="1"/>
  <c r="S13" i="1"/>
  <c r="R13" i="1" s="1"/>
  <c r="S14" i="1"/>
  <c r="R14" i="1" s="1"/>
  <c r="S15" i="1"/>
  <c r="R15" i="1" s="1"/>
  <c r="S16" i="1"/>
  <c r="R16" i="1" s="1"/>
  <c r="B7" i="8" a="1"/>
  <c r="B8" i="8"/>
  <c r="B6" i="8" a="1"/>
  <c r="E3" i="8"/>
  <c r="B3" i="8"/>
  <c r="D3" i="8"/>
  <c r="C3" i="8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N2" i="1"/>
  <c r="M2" i="1"/>
  <c r="O261" i="1"/>
  <c r="L261" i="1"/>
  <c r="K261" i="1"/>
  <c r="J261" i="1"/>
  <c r="I261" i="1"/>
  <c r="H261" i="1"/>
  <c r="G261" i="1"/>
  <c r="F261" i="1"/>
  <c r="O260" i="1"/>
  <c r="L260" i="1"/>
  <c r="K260" i="1"/>
  <c r="J260" i="1"/>
  <c r="I260" i="1"/>
  <c r="H260" i="1"/>
  <c r="G260" i="1"/>
  <c r="F260" i="1"/>
  <c r="O259" i="1"/>
  <c r="L259" i="1"/>
  <c r="K259" i="1"/>
  <c r="J259" i="1"/>
  <c r="I259" i="1"/>
  <c r="H259" i="1"/>
  <c r="G259" i="1"/>
  <c r="F259" i="1"/>
  <c r="O258" i="1"/>
  <c r="L258" i="1"/>
  <c r="K258" i="1"/>
  <c r="J258" i="1"/>
  <c r="I258" i="1"/>
  <c r="H258" i="1"/>
  <c r="G258" i="1"/>
  <c r="F258" i="1"/>
  <c r="O257" i="1"/>
  <c r="L257" i="1"/>
  <c r="K257" i="1"/>
  <c r="J257" i="1"/>
  <c r="I257" i="1"/>
  <c r="H257" i="1"/>
  <c r="G257" i="1"/>
  <c r="F257" i="1"/>
  <c r="O256" i="1"/>
  <c r="L256" i="1"/>
  <c r="K256" i="1"/>
  <c r="J256" i="1"/>
  <c r="I256" i="1"/>
  <c r="H256" i="1"/>
  <c r="G256" i="1"/>
  <c r="F256" i="1"/>
  <c r="O255" i="1"/>
  <c r="L255" i="1"/>
  <c r="K255" i="1"/>
  <c r="J255" i="1"/>
  <c r="I255" i="1"/>
  <c r="H255" i="1"/>
  <c r="G255" i="1"/>
  <c r="F255" i="1"/>
  <c r="O254" i="1"/>
  <c r="L254" i="1"/>
  <c r="K254" i="1"/>
  <c r="J254" i="1"/>
  <c r="I254" i="1"/>
  <c r="H254" i="1"/>
  <c r="G254" i="1"/>
  <c r="F254" i="1"/>
  <c r="O253" i="1"/>
  <c r="L253" i="1"/>
  <c r="K253" i="1"/>
  <c r="J253" i="1"/>
  <c r="I253" i="1"/>
  <c r="H253" i="1"/>
  <c r="G253" i="1"/>
  <c r="F253" i="1"/>
  <c r="O252" i="1"/>
  <c r="L252" i="1"/>
  <c r="K252" i="1"/>
  <c r="J252" i="1"/>
  <c r="I252" i="1"/>
  <c r="H252" i="1"/>
  <c r="G252" i="1"/>
  <c r="F252" i="1"/>
  <c r="O251" i="1"/>
  <c r="L251" i="1"/>
  <c r="K251" i="1"/>
  <c r="J251" i="1"/>
  <c r="I251" i="1"/>
  <c r="H251" i="1"/>
  <c r="G251" i="1"/>
  <c r="F251" i="1"/>
  <c r="O250" i="1"/>
  <c r="L250" i="1"/>
  <c r="K250" i="1"/>
  <c r="J250" i="1"/>
  <c r="I250" i="1"/>
  <c r="H250" i="1"/>
  <c r="G250" i="1"/>
  <c r="F250" i="1"/>
  <c r="O249" i="1"/>
  <c r="L249" i="1"/>
  <c r="K249" i="1"/>
  <c r="J249" i="1"/>
  <c r="I249" i="1"/>
  <c r="H249" i="1"/>
  <c r="G249" i="1"/>
  <c r="F249" i="1"/>
  <c r="O248" i="1"/>
  <c r="L248" i="1"/>
  <c r="K248" i="1"/>
  <c r="J248" i="1"/>
  <c r="I248" i="1"/>
  <c r="H248" i="1"/>
  <c r="G248" i="1"/>
  <c r="F248" i="1"/>
  <c r="O247" i="1"/>
  <c r="L247" i="1"/>
  <c r="K247" i="1"/>
  <c r="J247" i="1"/>
  <c r="I247" i="1"/>
  <c r="H247" i="1"/>
  <c r="G247" i="1"/>
  <c r="F247" i="1"/>
  <c r="O246" i="1"/>
  <c r="L246" i="1"/>
  <c r="K246" i="1"/>
  <c r="J246" i="1"/>
  <c r="I246" i="1"/>
  <c r="H246" i="1"/>
  <c r="G246" i="1"/>
  <c r="F246" i="1"/>
  <c r="O245" i="1"/>
  <c r="L245" i="1"/>
  <c r="K245" i="1"/>
  <c r="J245" i="1"/>
  <c r="I245" i="1"/>
  <c r="H245" i="1"/>
  <c r="G245" i="1"/>
  <c r="F245" i="1"/>
  <c r="O244" i="1"/>
  <c r="L244" i="1"/>
  <c r="K244" i="1"/>
  <c r="J244" i="1"/>
  <c r="I244" i="1"/>
  <c r="H244" i="1"/>
  <c r="G244" i="1"/>
  <c r="F244" i="1"/>
  <c r="O243" i="1"/>
  <c r="L243" i="1"/>
  <c r="K243" i="1"/>
  <c r="J243" i="1"/>
  <c r="I243" i="1"/>
  <c r="H243" i="1"/>
  <c r="G243" i="1"/>
  <c r="F243" i="1"/>
  <c r="O242" i="1"/>
  <c r="L242" i="1"/>
  <c r="K242" i="1"/>
  <c r="J242" i="1"/>
  <c r="I242" i="1"/>
  <c r="H242" i="1"/>
  <c r="G242" i="1"/>
  <c r="F242" i="1"/>
  <c r="O241" i="1"/>
  <c r="L241" i="1"/>
  <c r="K241" i="1"/>
  <c r="J241" i="1"/>
  <c r="I241" i="1"/>
  <c r="H241" i="1"/>
  <c r="G241" i="1"/>
  <c r="F241" i="1"/>
  <c r="O240" i="1"/>
  <c r="L240" i="1"/>
  <c r="K240" i="1"/>
  <c r="J240" i="1"/>
  <c r="I240" i="1"/>
  <c r="H240" i="1"/>
  <c r="G240" i="1"/>
  <c r="F240" i="1"/>
  <c r="O239" i="1"/>
  <c r="L239" i="1"/>
  <c r="K239" i="1"/>
  <c r="J239" i="1"/>
  <c r="I239" i="1"/>
  <c r="H239" i="1"/>
  <c r="G239" i="1"/>
  <c r="F239" i="1"/>
  <c r="O238" i="1"/>
  <c r="L238" i="1"/>
  <c r="K238" i="1"/>
  <c r="J238" i="1"/>
  <c r="I238" i="1"/>
  <c r="H238" i="1"/>
  <c r="G238" i="1"/>
  <c r="F238" i="1"/>
  <c r="O237" i="1"/>
  <c r="L237" i="1"/>
  <c r="K237" i="1"/>
  <c r="J237" i="1"/>
  <c r="I237" i="1"/>
  <c r="H237" i="1"/>
  <c r="G237" i="1"/>
  <c r="F237" i="1"/>
  <c r="O236" i="1"/>
  <c r="L236" i="1"/>
  <c r="K236" i="1"/>
  <c r="J236" i="1"/>
  <c r="I236" i="1"/>
  <c r="H236" i="1"/>
  <c r="G236" i="1"/>
  <c r="F236" i="1"/>
  <c r="O235" i="1"/>
  <c r="L235" i="1"/>
  <c r="K235" i="1"/>
  <c r="J235" i="1"/>
  <c r="I235" i="1"/>
  <c r="H235" i="1"/>
  <c r="G235" i="1"/>
  <c r="F235" i="1"/>
  <c r="O234" i="1"/>
  <c r="L234" i="1"/>
  <c r="K234" i="1"/>
  <c r="J234" i="1"/>
  <c r="I234" i="1"/>
  <c r="H234" i="1"/>
  <c r="G234" i="1"/>
  <c r="F234" i="1"/>
  <c r="O233" i="1"/>
  <c r="L233" i="1"/>
  <c r="K233" i="1"/>
  <c r="J233" i="1"/>
  <c r="I233" i="1"/>
  <c r="H233" i="1"/>
  <c r="G233" i="1"/>
  <c r="F233" i="1"/>
  <c r="O232" i="1"/>
  <c r="L232" i="1"/>
  <c r="K232" i="1"/>
  <c r="J232" i="1"/>
  <c r="I232" i="1"/>
  <c r="H232" i="1"/>
  <c r="G232" i="1"/>
  <c r="F232" i="1"/>
  <c r="O231" i="1"/>
  <c r="L231" i="1"/>
  <c r="K231" i="1"/>
  <c r="J231" i="1"/>
  <c r="I231" i="1"/>
  <c r="H231" i="1"/>
  <c r="G231" i="1"/>
  <c r="F231" i="1"/>
  <c r="O230" i="1"/>
  <c r="L230" i="1"/>
  <c r="K230" i="1"/>
  <c r="J230" i="1"/>
  <c r="I230" i="1"/>
  <c r="H230" i="1"/>
  <c r="G230" i="1"/>
  <c r="F230" i="1"/>
  <c r="O229" i="1"/>
  <c r="L229" i="1"/>
  <c r="K229" i="1"/>
  <c r="J229" i="1"/>
  <c r="I229" i="1"/>
  <c r="H229" i="1"/>
  <c r="G229" i="1"/>
  <c r="F229" i="1"/>
  <c r="O228" i="1"/>
  <c r="L228" i="1"/>
  <c r="K228" i="1"/>
  <c r="J228" i="1"/>
  <c r="I228" i="1"/>
  <c r="H228" i="1"/>
  <c r="G228" i="1"/>
  <c r="F228" i="1"/>
  <c r="O227" i="1"/>
  <c r="L227" i="1"/>
  <c r="K227" i="1"/>
  <c r="J227" i="1"/>
  <c r="I227" i="1"/>
  <c r="H227" i="1"/>
  <c r="G227" i="1"/>
  <c r="F227" i="1"/>
  <c r="O226" i="1"/>
  <c r="L226" i="1"/>
  <c r="K226" i="1"/>
  <c r="J226" i="1"/>
  <c r="I226" i="1"/>
  <c r="H226" i="1"/>
  <c r="G226" i="1"/>
  <c r="F226" i="1"/>
  <c r="O225" i="1"/>
  <c r="L225" i="1"/>
  <c r="K225" i="1"/>
  <c r="J225" i="1"/>
  <c r="I225" i="1"/>
  <c r="H225" i="1"/>
  <c r="G225" i="1"/>
  <c r="F225" i="1"/>
  <c r="O224" i="1"/>
  <c r="L224" i="1"/>
  <c r="K224" i="1"/>
  <c r="J224" i="1"/>
  <c r="I224" i="1"/>
  <c r="H224" i="1"/>
  <c r="G224" i="1"/>
  <c r="F224" i="1"/>
  <c r="O223" i="1"/>
  <c r="L223" i="1"/>
  <c r="K223" i="1"/>
  <c r="J223" i="1"/>
  <c r="I223" i="1"/>
  <c r="H223" i="1"/>
  <c r="G223" i="1"/>
  <c r="F223" i="1"/>
  <c r="O222" i="1"/>
  <c r="L222" i="1"/>
  <c r="K222" i="1"/>
  <c r="J222" i="1"/>
  <c r="I222" i="1"/>
  <c r="H222" i="1"/>
  <c r="G222" i="1"/>
  <c r="F222" i="1"/>
  <c r="O221" i="1"/>
  <c r="L221" i="1"/>
  <c r="K221" i="1"/>
  <c r="J221" i="1"/>
  <c r="I221" i="1"/>
  <c r="H221" i="1"/>
  <c r="G221" i="1"/>
  <c r="F221" i="1"/>
  <c r="O220" i="1"/>
  <c r="L220" i="1"/>
  <c r="K220" i="1"/>
  <c r="J220" i="1"/>
  <c r="I220" i="1"/>
  <c r="H220" i="1"/>
  <c r="G220" i="1"/>
  <c r="F220" i="1"/>
  <c r="O219" i="1"/>
  <c r="L219" i="1"/>
  <c r="K219" i="1"/>
  <c r="J219" i="1"/>
  <c r="I219" i="1"/>
  <c r="H219" i="1"/>
  <c r="G219" i="1"/>
  <c r="F219" i="1"/>
  <c r="O218" i="1"/>
  <c r="L218" i="1"/>
  <c r="K218" i="1"/>
  <c r="J218" i="1"/>
  <c r="I218" i="1"/>
  <c r="H218" i="1"/>
  <c r="G218" i="1"/>
  <c r="F218" i="1"/>
  <c r="O217" i="1"/>
  <c r="L217" i="1"/>
  <c r="K217" i="1"/>
  <c r="J217" i="1"/>
  <c r="I217" i="1"/>
  <c r="H217" i="1"/>
  <c r="G217" i="1"/>
  <c r="F217" i="1"/>
  <c r="O216" i="1"/>
  <c r="L216" i="1"/>
  <c r="K216" i="1"/>
  <c r="J216" i="1"/>
  <c r="I216" i="1"/>
  <c r="H216" i="1"/>
  <c r="G216" i="1"/>
  <c r="F216" i="1"/>
  <c r="O215" i="1"/>
  <c r="L215" i="1"/>
  <c r="K215" i="1"/>
  <c r="J215" i="1"/>
  <c r="I215" i="1"/>
  <c r="H215" i="1"/>
  <c r="G215" i="1"/>
  <c r="F215" i="1"/>
  <c r="O214" i="1"/>
  <c r="L214" i="1"/>
  <c r="K214" i="1"/>
  <c r="J214" i="1"/>
  <c r="I214" i="1"/>
  <c r="H214" i="1"/>
  <c r="G214" i="1"/>
  <c r="F214" i="1"/>
  <c r="O213" i="1"/>
  <c r="L213" i="1"/>
  <c r="K213" i="1"/>
  <c r="J213" i="1"/>
  <c r="I213" i="1"/>
  <c r="H213" i="1"/>
  <c r="G213" i="1"/>
  <c r="F213" i="1"/>
  <c r="O212" i="1"/>
  <c r="L212" i="1"/>
  <c r="K212" i="1"/>
  <c r="J212" i="1"/>
  <c r="I212" i="1"/>
  <c r="H212" i="1"/>
  <c r="G212" i="1"/>
  <c r="F212" i="1"/>
  <c r="O211" i="1"/>
  <c r="L211" i="1"/>
  <c r="K211" i="1"/>
  <c r="J211" i="1"/>
  <c r="I211" i="1"/>
  <c r="H211" i="1"/>
  <c r="G211" i="1"/>
  <c r="F211" i="1"/>
  <c r="O210" i="1"/>
  <c r="L210" i="1"/>
  <c r="K210" i="1"/>
  <c r="J210" i="1"/>
  <c r="I210" i="1"/>
  <c r="H210" i="1"/>
  <c r="G210" i="1"/>
  <c r="F210" i="1"/>
  <c r="O209" i="1"/>
  <c r="L209" i="1"/>
  <c r="K209" i="1"/>
  <c r="J209" i="1"/>
  <c r="I209" i="1"/>
  <c r="H209" i="1"/>
  <c r="G209" i="1"/>
  <c r="F209" i="1"/>
  <c r="O208" i="1"/>
  <c r="L208" i="1"/>
  <c r="K208" i="1"/>
  <c r="J208" i="1"/>
  <c r="I208" i="1"/>
  <c r="H208" i="1"/>
  <c r="G208" i="1"/>
  <c r="F208" i="1"/>
  <c r="O207" i="1"/>
  <c r="L207" i="1"/>
  <c r="K207" i="1"/>
  <c r="J207" i="1"/>
  <c r="I207" i="1"/>
  <c r="H207" i="1"/>
  <c r="G207" i="1"/>
  <c r="F207" i="1"/>
  <c r="O206" i="1"/>
  <c r="L206" i="1"/>
  <c r="K206" i="1"/>
  <c r="J206" i="1"/>
  <c r="I206" i="1"/>
  <c r="H206" i="1"/>
  <c r="G206" i="1"/>
  <c r="F206" i="1"/>
  <c r="O205" i="1"/>
  <c r="L205" i="1"/>
  <c r="K205" i="1"/>
  <c r="J205" i="1"/>
  <c r="I205" i="1"/>
  <c r="H205" i="1"/>
  <c r="G205" i="1"/>
  <c r="F205" i="1"/>
  <c r="O204" i="1"/>
  <c r="L204" i="1"/>
  <c r="K204" i="1"/>
  <c r="J204" i="1"/>
  <c r="I204" i="1"/>
  <c r="H204" i="1"/>
  <c r="G204" i="1"/>
  <c r="F204" i="1"/>
  <c r="O203" i="1"/>
  <c r="L203" i="1"/>
  <c r="K203" i="1"/>
  <c r="J203" i="1"/>
  <c r="I203" i="1"/>
  <c r="H203" i="1"/>
  <c r="G203" i="1"/>
  <c r="F203" i="1"/>
  <c r="O202" i="1"/>
  <c r="L202" i="1"/>
  <c r="K202" i="1"/>
  <c r="J202" i="1"/>
  <c r="I202" i="1"/>
  <c r="H202" i="1"/>
  <c r="G202" i="1"/>
  <c r="F202" i="1"/>
  <c r="O201" i="1"/>
  <c r="L201" i="1"/>
  <c r="K201" i="1"/>
  <c r="J201" i="1"/>
  <c r="I201" i="1"/>
  <c r="H201" i="1"/>
  <c r="G201" i="1"/>
  <c r="F201" i="1"/>
  <c r="O200" i="1"/>
  <c r="L200" i="1"/>
  <c r="K200" i="1"/>
  <c r="J200" i="1"/>
  <c r="I200" i="1"/>
  <c r="H200" i="1"/>
  <c r="G200" i="1"/>
  <c r="F200" i="1"/>
  <c r="O199" i="1"/>
  <c r="L199" i="1"/>
  <c r="K199" i="1"/>
  <c r="J199" i="1"/>
  <c r="I199" i="1"/>
  <c r="H199" i="1"/>
  <c r="G199" i="1"/>
  <c r="F199" i="1"/>
  <c r="O198" i="1"/>
  <c r="L198" i="1"/>
  <c r="K198" i="1"/>
  <c r="J198" i="1"/>
  <c r="I198" i="1"/>
  <c r="H198" i="1"/>
  <c r="G198" i="1"/>
  <c r="F198" i="1"/>
  <c r="O197" i="1"/>
  <c r="L197" i="1"/>
  <c r="K197" i="1"/>
  <c r="J197" i="1"/>
  <c r="I197" i="1"/>
  <c r="H197" i="1"/>
  <c r="G197" i="1"/>
  <c r="F197" i="1"/>
  <c r="O196" i="1"/>
  <c r="L196" i="1"/>
  <c r="K196" i="1"/>
  <c r="J196" i="1"/>
  <c r="I196" i="1"/>
  <c r="H196" i="1"/>
  <c r="G196" i="1"/>
  <c r="F196" i="1"/>
  <c r="O195" i="1"/>
  <c r="L195" i="1"/>
  <c r="K195" i="1"/>
  <c r="J195" i="1"/>
  <c r="I195" i="1"/>
  <c r="H195" i="1"/>
  <c r="G195" i="1"/>
  <c r="F195" i="1"/>
  <c r="O194" i="1"/>
  <c r="L194" i="1"/>
  <c r="K194" i="1"/>
  <c r="J194" i="1"/>
  <c r="I194" i="1"/>
  <c r="H194" i="1"/>
  <c r="G194" i="1"/>
  <c r="F194" i="1"/>
  <c r="O193" i="1"/>
  <c r="L193" i="1"/>
  <c r="K193" i="1"/>
  <c r="J193" i="1"/>
  <c r="I193" i="1"/>
  <c r="H193" i="1"/>
  <c r="G193" i="1"/>
  <c r="F193" i="1"/>
  <c r="O192" i="1"/>
  <c r="L192" i="1"/>
  <c r="K192" i="1"/>
  <c r="J192" i="1"/>
  <c r="I192" i="1"/>
  <c r="H192" i="1"/>
  <c r="G192" i="1"/>
  <c r="F192" i="1"/>
  <c r="O191" i="1"/>
  <c r="L191" i="1"/>
  <c r="K191" i="1"/>
  <c r="J191" i="1"/>
  <c r="I191" i="1"/>
  <c r="H191" i="1"/>
  <c r="G191" i="1"/>
  <c r="F191" i="1"/>
  <c r="O190" i="1"/>
  <c r="L190" i="1"/>
  <c r="K190" i="1"/>
  <c r="J190" i="1"/>
  <c r="I190" i="1"/>
  <c r="H190" i="1"/>
  <c r="G190" i="1"/>
  <c r="F190" i="1"/>
  <c r="O189" i="1"/>
  <c r="L189" i="1"/>
  <c r="K189" i="1"/>
  <c r="J189" i="1"/>
  <c r="I189" i="1"/>
  <c r="H189" i="1"/>
  <c r="G189" i="1"/>
  <c r="F189" i="1"/>
  <c r="O188" i="1"/>
  <c r="L188" i="1"/>
  <c r="K188" i="1"/>
  <c r="J188" i="1"/>
  <c r="I188" i="1"/>
  <c r="H188" i="1"/>
  <c r="G188" i="1"/>
  <c r="F188" i="1"/>
  <c r="O187" i="1"/>
  <c r="L187" i="1"/>
  <c r="K187" i="1"/>
  <c r="J187" i="1"/>
  <c r="I187" i="1"/>
  <c r="H187" i="1"/>
  <c r="G187" i="1"/>
  <c r="F187" i="1"/>
  <c r="O186" i="1"/>
  <c r="L186" i="1"/>
  <c r="K186" i="1"/>
  <c r="J186" i="1"/>
  <c r="I186" i="1"/>
  <c r="H186" i="1"/>
  <c r="G186" i="1"/>
  <c r="F186" i="1"/>
  <c r="O185" i="1"/>
  <c r="L185" i="1"/>
  <c r="K185" i="1"/>
  <c r="J185" i="1"/>
  <c r="I185" i="1"/>
  <c r="H185" i="1"/>
  <c r="G185" i="1"/>
  <c r="F185" i="1"/>
  <c r="O184" i="1"/>
  <c r="L184" i="1"/>
  <c r="K184" i="1"/>
  <c r="J184" i="1"/>
  <c r="I184" i="1"/>
  <c r="H184" i="1"/>
  <c r="G184" i="1"/>
  <c r="F184" i="1"/>
  <c r="O183" i="1"/>
  <c r="L183" i="1"/>
  <c r="K183" i="1"/>
  <c r="J183" i="1"/>
  <c r="I183" i="1"/>
  <c r="H183" i="1"/>
  <c r="G183" i="1"/>
  <c r="F183" i="1"/>
  <c r="O182" i="1"/>
  <c r="L182" i="1"/>
  <c r="K182" i="1"/>
  <c r="J182" i="1"/>
  <c r="I182" i="1"/>
  <c r="H182" i="1"/>
  <c r="G182" i="1"/>
  <c r="F182" i="1"/>
  <c r="O181" i="1"/>
  <c r="L181" i="1"/>
  <c r="K181" i="1"/>
  <c r="J181" i="1"/>
  <c r="I181" i="1"/>
  <c r="H181" i="1"/>
  <c r="G181" i="1"/>
  <c r="F181" i="1"/>
  <c r="O180" i="1"/>
  <c r="L180" i="1"/>
  <c r="K180" i="1"/>
  <c r="J180" i="1"/>
  <c r="I180" i="1"/>
  <c r="H180" i="1"/>
  <c r="G180" i="1"/>
  <c r="F180" i="1"/>
  <c r="O179" i="1"/>
  <c r="L179" i="1"/>
  <c r="K179" i="1"/>
  <c r="J179" i="1"/>
  <c r="I179" i="1"/>
  <c r="H179" i="1"/>
  <c r="G179" i="1"/>
  <c r="F179" i="1"/>
  <c r="O178" i="1"/>
  <c r="L178" i="1"/>
  <c r="K178" i="1"/>
  <c r="J178" i="1"/>
  <c r="I178" i="1"/>
  <c r="H178" i="1"/>
  <c r="G178" i="1"/>
  <c r="F178" i="1"/>
  <c r="O177" i="1"/>
  <c r="L177" i="1"/>
  <c r="K177" i="1"/>
  <c r="J177" i="1"/>
  <c r="I177" i="1"/>
  <c r="H177" i="1"/>
  <c r="G177" i="1"/>
  <c r="F177" i="1"/>
  <c r="O176" i="1"/>
  <c r="L176" i="1"/>
  <c r="K176" i="1"/>
  <c r="J176" i="1"/>
  <c r="I176" i="1"/>
  <c r="H176" i="1"/>
  <c r="G176" i="1"/>
  <c r="F176" i="1"/>
  <c r="O175" i="1"/>
  <c r="L175" i="1"/>
  <c r="K175" i="1"/>
  <c r="J175" i="1"/>
  <c r="I175" i="1"/>
  <c r="H175" i="1"/>
  <c r="G175" i="1"/>
  <c r="F175" i="1"/>
  <c r="O174" i="1"/>
  <c r="L174" i="1"/>
  <c r="K174" i="1"/>
  <c r="J174" i="1"/>
  <c r="I174" i="1"/>
  <c r="H174" i="1"/>
  <c r="G174" i="1"/>
  <c r="F174" i="1"/>
  <c r="O173" i="1"/>
  <c r="L173" i="1"/>
  <c r="K173" i="1"/>
  <c r="J173" i="1"/>
  <c r="I173" i="1"/>
  <c r="H173" i="1"/>
  <c r="G173" i="1"/>
  <c r="F173" i="1"/>
  <c r="O172" i="1"/>
  <c r="L172" i="1"/>
  <c r="K172" i="1"/>
  <c r="J172" i="1"/>
  <c r="I172" i="1"/>
  <c r="H172" i="1"/>
  <c r="G172" i="1"/>
  <c r="F172" i="1"/>
  <c r="O171" i="1"/>
  <c r="L171" i="1"/>
  <c r="K171" i="1"/>
  <c r="J171" i="1"/>
  <c r="I171" i="1"/>
  <c r="H171" i="1"/>
  <c r="G171" i="1"/>
  <c r="F171" i="1"/>
  <c r="O170" i="1"/>
  <c r="L170" i="1"/>
  <c r="K170" i="1"/>
  <c r="J170" i="1"/>
  <c r="I170" i="1"/>
  <c r="H170" i="1"/>
  <c r="G170" i="1"/>
  <c r="F170" i="1"/>
  <c r="O169" i="1"/>
  <c r="L169" i="1"/>
  <c r="K169" i="1"/>
  <c r="J169" i="1"/>
  <c r="I169" i="1"/>
  <c r="H169" i="1"/>
  <c r="G169" i="1"/>
  <c r="F169" i="1"/>
  <c r="O168" i="1"/>
  <c r="L168" i="1"/>
  <c r="K168" i="1"/>
  <c r="J168" i="1"/>
  <c r="I168" i="1"/>
  <c r="H168" i="1"/>
  <c r="G168" i="1"/>
  <c r="F168" i="1"/>
  <c r="O167" i="1"/>
  <c r="L167" i="1"/>
  <c r="K167" i="1"/>
  <c r="J167" i="1"/>
  <c r="I167" i="1"/>
  <c r="H167" i="1"/>
  <c r="G167" i="1"/>
  <c r="F167" i="1"/>
  <c r="O166" i="1"/>
  <c r="L166" i="1"/>
  <c r="K166" i="1"/>
  <c r="J166" i="1"/>
  <c r="I166" i="1"/>
  <c r="H166" i="1"/>
  <c r="G166" i="1"/>
  <c r="F166" i="1"/>
  <c r="O165" i="1"/>
  <c r="L165" i="1"/>
  <c r="K165" i="1"/>
  <c r="J165" i="1"/>
  <c r="I165" i="1"/>
  <c r="H165" i="1"/>
  <c r="G165" i="1"/>
  <c r="F165" i="1"/>
  <c r="O164" i="1"/>
  <c r="L164" i="1"/>
  <c r="K164" i="1"/>
  <c r="J164" i="1"/>
  <c r="I164" i="1"/>
  <c r="H164" i="1"/>
  <c r="G164" i="1"/>
  <c r="F164" i="1"/>
  <c r="O163" i="1"/>
  <c r="L163" i="1"/>
  <c r="K163" i="1"/>
  <c r="J163" i="1"/>
  <c r="I163" i="1"/>
  <c r="H163" i="1"/>
  <c r="G163" i="1"/>
  <c r="F163" i="1"/>
  <c r="O162" i="1"/>
  <c r="L162" i="1"/>
  <c r="K162" i="1"/>
  <c r="J162" i="1"/>
  <c r="I162" i="1"/>
  <c r="H162" i="1"/>
  <c r="G162" i="1"/>
  <c r="F162" i="1"/>
  <c r="O161" i="1"/>
  <c r="L161" i="1"/>
  <c r="K161" i="1"/>
  <c r="J161" i="1"/>
  <c r="I161" i="1"/>
  <c r="H161" i="1"/>
  <c r="G161" i="1"/>
  <c r="F161" i="1"/>
  <c r="O160" i="1"/>
  <c r="L160" i="1"/>
  <c r="K160" i="1"/>
  <c r="J160" i="1"/>
  <c r="I160" i="1"/>
  <c r="H160" i="1"/>
  <c r="G160" i="1"/>
  <c r="F160" i="1"/>
  <c r="O159" i="1"/>
  <c r="L159" i="1"/>
  <c r="K159" i="1"/>
  <c r="J159" i="1"/>
  <c r="I159" i="1"/>
  <c r="H159" i="1"/>
  <c r="G159" i="1"/>
  <c r="F159" i="1"/>
  <c r="O158" i="1"/>
  <c r="L158" i="1"/>
  <c r="K158" i="1"/>
  <c r="J158" i="1"/>
  <c r="I158" i="1"/>
  <c r="H158" i="1"/>
  <c r="G158" i="1"/>
  <c r="F158" i="1"/>
  <c r="O157" i="1"/>
  <c r="L157" i="1"/>
  <c r="K157" i="1"/>
  <c r="J157" i="1"/>
  <c r="I157" i="1"/>
  <c r="H157" i="1"/>
  <c r="G157" i="1"/>
  <c r="F157" i="1"/>
  <c r="O156" i="1"/>
  <c r="L156" i="1"/>
  <c r="K156" i="1"/>
  <c r="J156" i="1"/>
  <c r="I156" i="1"/>
  <c r="H156" i="1"/>
  <c r="G156" i="1"/>
  <c r="F156" i="1"/>
  <c r="O155" i="1"/>
  <c r="L155" i="1"/>
  <c r="K155" i="1"/>
  <c r="J155" i="1"/>
  <c r="I155" i="1"/>
  <c r="H155" i="1"/>
  <c r="G155" i="1"/>
  <c r="F155" i="1"/>
  <c r="O154" i="1"/>
  <c r="L154" i="1"/>
  <c r="K154" i="1"/>
  <c r="J154" i="1"/>
  <c r="I154" i="1"/>
  <c r="H154" i="1"/>
  <c r="G154" i="1"/>
  <c r="F154" i="1"/>
  <c r="O153" i="1"/>
  <c r="L153" i="1"/>
  <c r="K153" i="1"/>
  <c r="J153" i="1"/>
  <c r="I153" i="1"/>
  <c r="H153" i="1"/>
  <c r="G153" i="1"/>
  <c r="F153" i="1"/>
  <c r="O152" i="1"/>
  <c r="L152" i="1"/>
  <c r="K152" i="1"/>
  <c r="J152" i="1"/>
  <c r="I152" i="1"/>
  <c r="H152" i="1"/>
  <c r="G152" i="1"/>
  <c r="F152" i="1"/>
  <c r="O151" i="1"/>
  <c r="L151" i="1"/>
  <c r="K151" i="1"/>
  <c r="J151" i="1"/>
  <c r="I151" i="1"/>
  <c r="H151" i="1"/>
  <c r="G151" i="1"/>
  <c r="F151" i="1"/>
  <c r="O150" i="1"/>
  <c r="L150" i="1"/>
  <c r="K150" i="1"/>
  <c r="J150" i="1"/>
  <c r="I150" i="1"/>
  <c r="H150" i="1"/>
  <c r="G150" i="1"/>
  <c r="F150" i="1"/>
  <c r="O149" i="1"/>
  <c r="L149" i="1"/>
  <c r="K149" i="1"/>
  <c r="J149" i="1"/>
  <c r="I149" i="1"/>
  <c r="H149" i="1"/>
  <c r="G149" i="1"/>
  <c r="F149" i="1"/>
  <c r="O148" i="1"/>
  <c r="L148" i="1"/>
  <c r="K148" i="1"/>
  <c r="J148" i="1"/>
  <c r="I148" i="1"/>
  <c r="H148" i="1"/>
  <c r="G148" i="1"/>
  <c r="F148" i="1"/>
  <c r="O147" i="1"/>
  <c r="L147" i="1"/>
  <c r="K147" i="1"/>
  <c r="J147" i="1"/>
  <c r="I147" i="1"/>
  <c r="H147" i="1"/>
  <c r="G147" i="1"/>
  <c r="F147" i="1"/>
  <c r="O146" i="1"/>
  <c r="L146" i="1"/>
  <c r="K146" i="1"/>
  <c r="J146" i="1"/>
  <c r="I146" i="1"/>
  <c r="H146" i="1"/>
  <c r="G146" i="1"/>
  <c r="F146" i="1"/>
  <c r="O145" i="1"/>
  <c r="L145" i="1"/>
  <c r="K145" i="1"/>
  <c r="J145" i="1"/>
  <c r="I145" i="1"/>
  <c r="H145" i="1"/>
  <c r="G145" i="1"/>
  <c r="F145" i="1"/>
  <c r="O144" i="1"/>
  <c r="L144" i="1"/>
  <c r="K144" i="1"/>
  <c r="J144" i="1"/>
  <c r="I144" i="1"/>
  <c r="H144" i="1"/>
  <c r="G144" i="1"/>
  <c r="F144" i="1"/>
  <c r="O143" i="1"/>
  <c r="L143" i="1"/>
  <c r="K143" i="1"/>
  <c r="J143" i="1"/>
  <c r="I143" i="1"/>
  <c r="H143" i="1"/>
  <c r="G143" i="1"/>
  <c r="F143" i="1"/>
  <c r="O142" i="1"/>
  <c r="L142" i="1"/>
  <c r="K142" i="1"/>
  <c r="J142" i="1"/>
  <c r="I142" i="1"/>
  <c r="H142" i="1"/>
  <c r="G142" i="1"/>
  <c r="F142" i="1"/>
  <c r="O141" i="1"/>
  <c r="L141" i="1"/>
  <c r="K141" i="1"/>
  <c r="J141" i="1"/>
  <c r="I141" i="1"/>
  <c r="H141" i="1"/>
  <c r="G141" i="1"/>
  <c r="F141" i="1"/>
  <c r="O140" i="1"/>
  <c r="L140" i="1"/>
  <c r="K140" i="1"/>
  <c r="J140" i="1"/>
  <c r="I140" i="1"/>
  <c r="H140" i="1"/>
  <c r="G140" i="1"/>
  <c r="F140" i="1"/>
  <c r="O139" i="1"/>
  <c r="L139" i="1"/>
  <c r="K139" i="1"/>
  <c r="J139" i="1"/>
  <c r="I139" i="1"/>
  <c r="H139" i="1"/>
  <c r="G139" i="1"/>
  <c r="F139" i="1"/>
  <c r="O138" i="1"/>
  <c r="L138" i="1"/>
  <c r="K138" i="1"/>
  <c r="J138" i="1"/>
  <c r="I138" i="1"/>
  <c r="H138" i="1"/>
  <c r="G138" i="1"/>
  <c r="F138" i="1"/>
  <c r="O137" i="1"/>
  <c r="L137" i="1"/>
  <c r="K137" i="1"/>
  <c r="J137" i="1"/>
  <c r="I137" i="1"/>
  <c r="H137" i="1"/>
  <c r="G137" i="1"/>
  <c r="F137" i="1"/>
  <c r="O136" i="1"/>
  <c r="L136" i="1"/>
  <c r="K136" i="1"/>
  <c r="J136" i="1"/>
  <c r="I136" i="1"/>
  <c r="H136" i="1"/>
  <c r="G136" i="1"/>
  <c r="F136" i="1"/>
  <c r="O135" i="1"/>
  <c r="L135" i="1"/>
  <c r="K135" i="1"/>
  <c r="J135" i="1"/>
  <c r="I135" i="1"/>
  <c r="H135" i="1"/>
  <c r="G135" i="1"/>
  <c r="F135" i="1"/>
  <c r="O134" i="1"/>
  <c r="L134" i="1"/>
  <c r="K134" i="1"/>
  <c r="J134" i="1"/>
  <c r="I134" i="1"/>
  <c r="H134" i="1"/>
  <c r="G134" i="1"/>
  <c r="F134" i="1"/>
  <c r="O133" i="1"/>
  <c r="L133" i="1"/>
  <c r="K133" i="1"/>
  <c r="J133" i="1"/>
  <c r="I133" i="1"/>
  <c r="H133" i="1"/>
  <c r="G133" i="1"/>
  <c r="F133" i="1"/>
  <c r="O132" i="1"/>
  <c r="L132" i="1"/>
  <c r="K132" i="1"/>
  <c r="J132" i="1"/>
  <c r="I132" i="1"/>
  <c r="H132" i="1"/>
  <c r="G132" i="1"/>
  <c r="F132" i="1"/>
  <c r="O131" i="1"/>
  <c r="L131" i="1"/>
  <c r="K131" i="1"/>
  <c r="J131" i="1"/>
  <c r="I131" i="1"/>
  <c r="H131" i="1"/>
  <c r="G131" i="1"/>
  <c r="F131" i="1"/>
  <c r="O130" i="1"/>
  <c r="L130" i="1"/>
  <c r="K130" i="1"/>
  <c r="J130" i="1"/>
  <c r="I130" i="1"/>
  <c r="H130" i="1"/>
  <c r="G130" i="1"/>
  <c r="F130" i="1"/>
  <c r="O129" i="1"/>
  <c r="L129" i="1"/>
  <c r="K129" i="1"/>
  <c r="J129" i="1"/>
  <c r="I129" i="1"/>
  <c r="H129" i="1"/>
  <c r="G129" i="1"/>
  <c r="F129" i="1"/>
  <c r="O128" i="1"/>
  <c r="L128" i="1"/>
  <c r="K128" i="1"/>
  <c r="J128" i="1"/>
  <c r="I128" i="1"/>
  <c r="H128" i="1"/>
  <c r="G128" i="1"/>
  <c r="F128" i="1"/>
  <c r="O127" i="1"/>
  <c r="L127" i="1"/>
  <c r="K127" i="1"/>
  <c r="J127" i="1"/>
  <c r="I127" i="1"/>
  <c r="H127" i="1"/>
  <c r="G127" i="1"/>
  <c r="F127" i="1"/>
  <c r="O126" i="1"/>
  <c r="L126" i="1"/>
  <c r="K126" i="1"/>
  <c r="J126" i="1"/>
  <c r="I126" i="1"/>
  <c r="H126" i="1"/>
  <c r="G126" i="1"/>
  <c r="F126" i="1"/>
  <c r="O125" i="1"/>
  <c r="L125" i="1"/>
  <c r="K125" i="1"/>
  <c r="J125" i="1"/>
  <c r="I125" i="1"/>
  <c r="H125" i="1"/>
  <c r="G125" i="1"/>
  <c r="F125" i="1"/>
  <c r="O124" i="1"/>
  <c r="L124" i="1"/>
  <c r="K124" i="1"/>
  <c r="J124" i="1"/>
  <c r="I124" i="1"/>
  <c r="H124" i="1"/>
  <c r="G124" i="1"/>
  <c r="F124" i="1"/>
  <c r="O123" i="1"/>
  <c r="L123" i="1"/>
  <c r="K123" i="1"/>
  <c r="J123" i="1"/>
  <c r="I123" i="1"/>
  <c r="H123" i="1"/>
  <c r="G123" i="1"/>
  <c r="F123" i="1"/>
  <c r="O122" i="1"/>
  <c r="L122" i="1"/>
  <c r="K122" i="1"/>
  <c r="J122" i="1"/>
  <c r="I122" i="1"/>
  <c r="H122" i="1"/>
  <c r="G122" i="1"/>
  <c r="F122" i="1"/>
  <c r="O121" i="1"/>
  <c r="L121" i="1"/>
  <c r="K121" i="1"/>
  <c r="J121" i="1"/>
  <c r="I121" i="1"/>
  <c r="H121" i="1"/>
  <c r="G121" i="1"/>
  <c r="F121" i="1"/>
  <c r="O120" i="1"/>
  <c r="L120" i="1"/>
  <c r="K120" i="1"/>
  <c r="J120" i="1"/>
  <c r="I120" i="1"/>
  <c r="H120" i="1"/>
  <c r="G120" i="1"/>
  <c r="F120" i="1"/>
  <c r="O119" i="1"/>
  <c r="L119" i="1"/>
  <c r="K119" i="1"/>
  <c r="J119" i="1"/>
  <c r="I119" i="1"/>
  <c r="H119" i="1"/>
  <c r="G119" i="1"/>
  <c r="F119" i="1"/>
  <c r="O118" i="1"/>
  <c r="L118" i="1"/>
  <c r="K118" i="1"/>
  <c r="J118" i="1"/>
  <c r="I118" i="1"/>
  <c r="H118" i="1"/>
  <c r="G118" i="1"/>
  <c r="F118" i="1"/>
  <c r="O117" i="1"/>
  <c r="L117" i="1"/>
  <c r="K117" i="1"/>
  <c r="J117" i="1"/>
  <c r="I117" i="1"/>
  <c r="H117" i="1"/>
  <c r="G117" i="1"/>
  <c r="F117" i="1"/>
  <c r="O116" i="1"/>
  <c r="L116" i="1"/>
  <c r="K116" i="1"/>
  <c r="J116" i="1"/>
  <c r="I116" i="1"/>
  <c r="H116" i="1"/>
  <c r="G116" i="1"/>
  <c r="F116" i="1"/>
  <c r="O115" i="1"/>
  <c r="L115" i="1"/>
  <c r="K115" i="1"/>
  <c r="J115" i="1"/>
  <c r="I115" i="1"/>
  <c r="H115" i="1"/>
  <c r="G115" i="1"/>
  <c r="F115" i="1"/>
  <c r="O114" i="1"/>
  <c r="L114" i="1"/>
  <c r="K114" i="1"/>
  <c r="J114" i="1"/>
  <c r="I114" i="1"/>
  <c r="H114" i="1"/>
  <c r="G114" i="1"/>
  <c r="F114" i="1"/>
  <c r="O113" i="1"/>
  <c r="L113" i="1"/>
  <c r="K113" i="1"/>
  <c r="J113" i="1"/>
  <c r="I113" i="1"/>
  <c r="H113" i="1"/>
  <c r="G113" i="1"/>
  <c r="F113" i="1"/>
  <c r="O112" i="1"/>
  <c r="L112" i="1"/>
  <c r="K112" i="1"/>
  <c r="J112" i="1"/>
  <c r="I112" i="1"/>
  <c r="H112" i="1"/>
  <c r="G112" i="1"/>
  <c r="F112" i="1"/>
  <c r="O111" i="1"/>
  <c r="L111" i="1"/>
  <c r="K111" i="1"/>
  <c r="J111" i="1"/>
  <c r="I111" i="1"/>
  <c r="H111" i="1"/>
  <c r="G111" i="1"/>
  <c r="F111" i="1"/>
  <c r="O110" i="1"/>
  <c r="L110" i="1"/>
  <c r="K110" i="1"/>
  <c r="J110" i="1"/>
  <c r="I110" i="1"/>
  <c r="H110" i="1"/>
  <c r="G110" i="1"/>
  <c r="F110" i="1"/>
  <c r="O109" i="1"/>
  <c r="L109" i="1"/>
  <c r="K109" i="1"/>
  <c r="J109" i="1"/>
  <c r="I109" i="1"/>
  <c r="H109" i="1"/>
  <c r="G109" i="1"/>
  <c r="F109" i="1"/>
  <c r="O108" i="1"/>
  <c r="L108" i="1"/>
  <c r="K108" i="1"/>
  <c r="J108" i="1"/>
  <c r="I108" i="1"/>
  <c r="H108" i="1"/>
  <c r="G108" i="1"/>
  <c r="F108" i="1"/>
  <c r="O107" i="1"/>
  <c r="L107" i="1"/>
  <c r="K107" i="1"/>
  <c r="J107" i="1"/>
  <c r="I107" i="1"/>
  <c r="H107" i="1"/>
  <c r="G107" i="1"/>
  <c r="F107" i="1"/>
  <c r="O106" i="1"/>
  <c r="L106" i="1"/>
  <c r="K106" i="1"/>
  <c r="J106" i="1"/>
  <c r="I106" i="1"/>
  <c r="H106" i="1"/>
  <c r="G106" i="1"/>
  <c r="F106" i="1"/>
  <c r="O105" i="1"/>
  <c r="L105" i="1"/>
  <c r="K105" i="1"/>
  <c r="J105" i="1"/>
  <c r="I105" i="1"/>
  <c r="H105" i="1"/>
  <c r="G105" i="1"/>
  <c r="F105" i="1"/>
  <c r="O104" i="1"/>
  <c r="L104" i="1"/>
  <c r="K104" i="1"/>
  <c r="J104" i="1"/>
  <c r="I104" i="1"/>
  <c r="H104" i="1"/>
  <c r="G104" i="1"/>
  <c r="F104" i="1"/>
  <c r="O103" i="1"/>
  <c r="L103" i="1"/>
  <c r="K103" i="1"/>
  <c r="J103" i="1"/>
  <c r="I103" i="1"/>
  <c r="H103" i="1"/>
  <c r="G103" i="1"/>
  <c r="F103" i="1"/>
  <c r="O102" i="1"/>
  <c r="L102" i="1"/>
  <c r="K102" i="1"/>
  <c r="J102" i="1"/>
  <c r="I102" i="1"/>
  <c r="H102" i="1"/>
  <c r="G102" i="1"/>
  <c r="F102" i="1"/>
  <c r="O101" i="1"/>
  <c r="L101" i="1"/>
  <c r="K101" i="1"/>
  <c r="J101" i="1"/>
  <c r="I101" i="1"/>
  <c r="H101" i="1"/>
  <c r="G101" i="1"/>
  <c r="F101" i="1"/>
  <c r="O100" i="1"/>
  <c r="L100" i="1"/>
  <c r="K100" i="1"/>
  <c r="J100" i="1"/>
  <c r="I100" i="1"/>
  <c r="H100" i="1"/>
  <c r="G100" i="1"/>
  <c r="F100" i="1"/>
  <c r="O99" i="1"/>
  <c r="L99" i="1"/>
  <c r="K99" i="1"/>
  <c r="J99" i="1"/>
  <c r="I99" i="1"/>
  <c r="H99" i="1"/>
  <c r="G99" i="1"/>
  <c r="F99" i="1"/>
  <c r="O98" i="1"/>
  <c r="L98" i="1"/>
  <c r="K98" i="1"/>
  <c r="J98" i="1"/>
  <c r="I98" i="1"/>
  <c r="H98" i="1"/>
  <c r="G98" i="1"/>
  <c r="F98" i="1"/>
  <c r="O97" i="1"/>
  <c r="L97" i="1"/>
  <c r="K97" i="1"/>
  <c r="J97" i="1"/>
  <c r="I97" i="1"/>
  <c r="H97" i="1"/>
  <c r="G97" i="1"/>
  <c r="F97" i="1"/>
  <c r="O96" i="1"/>
  <c r="L96" i="1"/>
  <c r="K96" i="1"/>
  <c r="J96" i="1"/>
  <c r="I96" i="1"/>
  <c r="H96" i="1"/>
  <c r="G96" i="1"/>
  <c r="F96" i="1"/>
  <c r="O95" i="1"/>
  <c r="L95" i="1"/>
  <c r="K95" i="1"/>
  <c r="J95" i="1"/>
  <c r="I95" i="1"/>
  <c r="H95" i="1"/>
  <c r="G95" i="1"/>
  <c r="F95" i="1"/>
  <c r="O94" i="1"/>
  <c r="L94" i="1"/>
  <c r="K94" i="1"/>
  <c r="J94" i="1"/>
  <c r="I94" i="1"/>
  <c r="H94" i="1"/>
  <c r="G94" i="1"/>
  <c r="F94" i="1"/>
  <c r="O93" i="1"/>
  <c r="L93" i="1"/>
  <c r="K93" i="1"/>
  <c r="J93" i="1"/>
  <c r="I93" i="1"/>
  <c r="H93" i="1"/>
  <c r="G93" i="1"/>
  <c r="F93" i="1"/>
  <c r="O92" i="1"/>
  <c r="L92" i="1"/>
  <c r="K92" i="1"/>
  <c r="J92" i="1"/>
  <c r="I92" i="1"/>
  <c r="H92" i="1"/>
  <c r="G92" i="1"/>
  <c r="F92" i="1"/>
  <c r="O91" i="1"/>
  <c r="L91" i="1"/>
  <c r="K91" i="1"/>
  <c r="J91" i="1"/>
  <c r="I91" i="1"/>
  <c r="H91" i="1"/>
  <c r="G91" i="1"/>
  <c r="F91" i="1"/>
  <c r="O90" i="1"/>
  <c r="L90" i="1"/>
  <c r="K90" i="1"/>
  <c r="J90" i="1"/>
  <c r="I90" i="1"/>
  <c r="H90" i="1"/>
  <c r="G90" i="1"/>
  <c r="F90" i="1"/>
  <c r="O89" i="1"/>
  <c r="L89" i="1"/>
  <c r="K89" i="1"/>
  <c r="J89" i="1"/>
  <c r="I89" i="1"/>
  <c r="H89" i="1"/>
  <c r="G89" i="1"/>
  <c r="F89" i="1"/>
  <c r="O88" i="1"/>
  <c r="L88" i="1"/>
  <c r="K88" i="1"/>
  <c r="J88" i="1"/>
  <c r="I88" i="1"/>
  <c r="H88" i="1"/>
  <c r="G88" i="1"/>
  <c r="F88" i="1"/>
  <c r="O87" i="1"/>
  <c r="L87" i="1"/>
  <c r="K87" i="1"/>
  <c r="J87" i="1"/>
  <c r="I87" i="1"/>
  <c r="H87" i="1"/>
  <c r="G87" i="1"/>
  <c r="F87" i="1"/>
  <c r="O86" i="1"/>
  <c r="L86" i="1"/>
  <c r="K86" i="1"/>
  <c r="J86" i="1"/>
  <c r="I86" i="1"/>
  <c r="H86" i="1"/>
  <c r="G86" i="1"/>
  <c r="F86" i="1"/>
  <c r="O85" i="1"/>
  <c r="L85" i="1"/>
  <c r="K85" i="1"/>
  <c r="J85" i="1"/>
  <c r="I85" i="1"/>
  <c r="H85" i="1"/>
  <c r="G85" i="1"/>
  <c r="F85" i="1"/>
  <c r="O84" i="1"/>
  <c r="L84" i="1"/>
  <c r="K84" i="1"/>
  <c r="J84" i="1"/>
  <c r="I84" i="1"/>
  <c r="H84" i="1"/>
  <c r="G84" i="1"/>
  <c r="F84" i="1"/>
  <c r="O83" i="1"/>
  <c r="L83" i="1"/>
  <c r="K83" i="1"/>
  <c r="J83" i="1"/>
  <c r="I83" i="1"/>
  <c r="H83" i="1"/>
  <c r="G83" i="1"/>
  <c r="F83" i="1"/>
  <c r="O82" i="1"/>
  <c r="L82" i="1"/>
  <c r="K82" i="1"/>
  <c r="J82" i="1"/>
  <c r="I82" i="1"/>
  <c r="H82" i="1"/>
  <c r="G82" i="1"/>
  <c r="F82" i="1"/>
  <c r="O81" i="1"/>
  <c r="L81" i="1"/>
  <c r="K81" i="1"/>
  <c r="J81" i="1"/>
  <c r="I81" i="1"/>
  <c r="H81" i="1"/>
  <c r="G81" i="1"/>
  <c r="F81" i="1"/>
  <c r="O80" i="1"/>
  <c r="L80" i="1"/>
  <c r="K80" i="1"/>
  <c r="J80" i="1"/>
  <c r="I80" i="1"/>
  <c r="H80" i="1"/>
  <c r="G80" i="1"/>
  <c r="F80" i="1"/>
  <c r="O79" i="1"/>
  <c r="L79" i="1"/>
  <c r="K79" i="1"/>
  <c r="J79" i="1"/>
  <c r="I79" i="1"/>
  <c r="H79" i="1"/>
  <c r="G79" i="1"/>
  <c r="F79" i="1"/>
  <c r="O78" i="1"/>
  <c r="L78" i="1"/>
  <c r="K78" i="1"/>
  <c r="J78" i="1"/>
  <c r="I78" i="1"/>
  <c r="H78" i="1"/>
  <c r="G78" i="1"/>
  <c r="F78" i="1"/>
  <c r="O77" i="1"/>
  <c r="L77" i="1"/>
  <c r="K77" i="1"/>
  <c r="J77" i="1"/>
  <c r="I77" i="1"/>
  <c r="H77" i="1"/>
  <c r="G77" i="1"/>
  <c r="F77" i="1"/>
  <c r="O76" i="1"/>
  <c r="L76" i="1"/>
  <c r="K76" i="1"/>
  <c r="J76" i="1"/>
  <c r="I76" i="1"/>
  <c r="H76" i="1"/>
  <c r="G76" i="1"/>
  <c r="F76" i="1"/>
  <c r="O75" i="1"/>
  <c r="L75" i="1"/>
  <c r="K75" i="1"/>
  <c r="J75" i="1"/>
  <c r="I75" i="1"/>
  <c r="H75" i="1"/>
  <c r="G75" i="1"/>
  <c r="F75" i="1"/>
  <c r="O74" i="1"/>
  <c r="L74" i="1"/>
  <c r="K74" i="1"/>
  <c r="J74" i="1"/>
  <c r="I74" i="1"/>
  <c r="H74" i="1"/>
  <c r="G74" i="1"/>
  <c r="F74" i="1"/>
  <c r="O73" i="1"/>
  <c r="L73" i="1"/>
  <c r="K73" i="1"/>
  <c r="J73" i="1"/>
  <c r="I73" i="1"/>
  <c r="H73" i="1"/>
  <c r="G73" i="1"/>
  <c r="F73" i="1"/>
  <c r="O72" i="1"/>
  <c r="L72" i="1"/>
  <c r="K72" i="1"/>
  <c r="J72" i="1"/>
  <c r="I72" i="1"/>
  <c r="H72" i="1"/>
  <c r="G72" i="1"/>
  <c r="F72" i="1"/>
  <c r="O71" i="1"/>
  <c r="L71" i="1"/>
  <c r="K71" i="1"/>
  <c r="J71" i="1"/>
  <c r="I71" i="1"/>
  <c r="H71" i="1"/>
  <c r="G71" i="1"/>
  <c r="F71" i="1"/>
  <c r="O70" i="1"/>
  <c r="L70" i="1"/>
  <c r="K70" i="1"/>
  <c r="J70" i="1"/>
  <c r="I70" i="1"/>
  <c r="H70" i="1"/>
  <c r="G70" i="1"/>
  <c r="F70" i="1"/>
  <c r="O69" i="1"/>
  <c r="L69" i="1"/>
  <c r="K69" i="1"/>
  <c r="J69" i="1"/>
  <c r="I69" i="1"/>
  <c r="H69" i="1"/>
  <c r="G69" i="1"/>
  <c r="F69" i="1"/>
  <c r="O68" i="1"/>
  <c r="L68" i="1"/>
  <c r="K68" i="1"/>
  <c r="J68" i="1"/>
  <c r="I68" i="1"/>
  <c r="H68" i="1"/>
  <c r="G68" i="1"/>
  <c r="F68" i="1"/>
  <c r="O67" i="1"/>
  <c r="L67" i="1"/>
  <c r="K67" i="1"/>
  <c r="J67" i="1"/>
  <c r="I67" i="1"/>
  <c r="H67" i="1"/>
  <c r="G67" i="1"/>
  <c r="F67" i="1"/>
  <c r="O66" i="1"/>
  <c r="L66" i="1"/>
  <c r="K66" i="1"/>
  <c r="J66" i="1"/>
  <c r="I66" i="1"/>
  <c r="H66" i="1"/>
  <c r="G66" i="1"/>
  <c r="F66" i="1"/>
  <c r="O65" i="1"/>
  <c r="L65" i="1"/>
  <c r="K65" i="1"/>
  <c r="J65" i="1"/>
  <c r="I65" i="1"/>
  <c r="H65" i="1"/>
  <c r="G65" i="1"/>
  <c r="F65" i="1"/>
  <c r="O64" i="1"/>
  <c r="L64" i="1"/>
  <c r="K64" i="1"/>
  <c r="J64" i="1"/>
  <c r="I64" i="1"/>
  <c r="H64" i="1"/>
  <c r="G64" i="1"/>
  <c r="F64" i="1"/>
  <c r="O63" i="1"/>
  <c r="L63" i="1"/>
  <c r="K63" i="1"/>
  <c r="J63" i="1"/>
  <c r="I63" i="1"/>
  <c r="H63" i="1"/>
  <c r="G63" i="1"/>
  <c r="F63" i="1"/>
  <c r="O62" i="1"/>
  <c r="L62" i="1"/>
  <c r="K62" i="1"/>
  <c r="J62" i="1"/>
  <c r="I62" i="1"/>
  <c r="H62" i="1"/>
  <c r="G62" i="1"/>
  <c r="F62" i="1"/>
  <c r="O61" i="1"/>
  <c r="L61" i="1"/>
  <c r="K61" i="1"/>
  <c r="J61" i="1"/>
  <c r="I61" i="1"/>
  <c r="H61" i="1"/>
  <c r="G61" i="1"/>
  <c r="F61" i="1"/>
  <c r="O60" i="1"/>
  <c r="L60" i="1"/>
  <c r="K60" i="1"/>
  <c r="J60" i="1"/>
  <c r="I60" i="1"/>
  <c r="H60" i="1"/>
  <c r="G60" i="1"/>
  <c r="F60" i="1"/>
  <c r="O59" i="1"/>
  <c r="L59" i="1"/>
  <c r="K59" i="1"/>
  <c r="J59" i="1"/>
  <c r="I59" i="1"/>
  <c r="H59" i="1"/>
  <c r="G59" i="1"/>
  <c r="F59" i="1"/>
  <c r="O58" i="1"/>
  <c r="L58" i="1"/>
  <c r="K58" i="1"/>
  <c r="J58" i="1"/>
  <c r="I58" i="1"/>
  <c r="H58" i="1"/>
  <c r="G58" i="1"/>
  <c r="F58" i="1"/>
  <c r="O57" i="1"/>
  <c r="L57" i="1"/>
  <c r="K57" i="1"/>
  <c r="J57" i="1"/>
  <c r="I57" i="1"/>
  <c r="H57" i="1"/>
  <c r="G57" i="1"/>
  <c r="F57" i="1"/>
  <c r="O56" i="1"/>
  <c r="L56" i="1"/>
  <c r="K56" i="1"/>
  <c r="J56" i="1"/>
  <c r="I56" i="1"/>
  <c r="H56" i="1"/>
  <c r="G56" i="1"/>
  <c r="F56" i="1"/>
  <c r="O55" i="1"/>
  <c r="L55" i="1"/>
  <c r="K55" i="1"/>
  <c r="J55" i="1"/>
  <c r="I55" i="1"/>
  <c r="H55" i="1"/>
  <c r="G55" i="1"/>
  <c r="F55" i="1"/>
  <c r="O54" i="1"/>
  <c r="L54" i="1"/>
  <c r="K54" i="1"/>
  <c r="J54" i="1"/>
  <c r="I54" i="1"/>
  <c r="H54" i="1"/>
  <c r="G54" i="1"/>
  <c r="F54" i="1"/>
  <c r="O53" i="1"/>
  <c r="L53" i="1"/>
  <c r="K53" i="1"/>
  <c r="J53" i="1"/>
  <c r="I53" i="1"/>
  <c r="H53" i="1"/>
  <c r="G53" i="1"/>
  <c r="F53" i="1"/>
  <c r="O52" i="1"/>
  <c r="L52" i="1"/>
  <c r="K52" i="1"/>
  <c r="J52" i="1"/>
  <c r="I52" i="1"/>
  <c r="H52" i="1"/>
  <c r="G52" i="1"/>
  <c r="F52" i="1"/>
  <c r="O51" i="1"/>
  <c r="L51" i="1"/>
  <c r="K51" i="1"/>
  <c r="J51" i="1"/>
  <c r="I51" i="1"/>
  <c r="H51" i="1"/>
  <c r="G51" i="1"/>
  <c r="F51" i="1"/>
  <c r="O50" i="1"/>
  <c r="L50" i="1"/>
  <c r="K50" i="1"/>
  <c r="J50" i="1"/>
  <c r="I50" i="1"/>
  <c r="H50" i="1"/>
  <c r="G50" i="1"/>
  <c r="F50" i="1"/>
  <c r="O49" i="1"/>
  <c r="L49" i="1"/>
  <c r="K49" i="1"/>
  <c r="J49" i="1"/>
  <c r="I49" i="1"/>
  <c r="H49" i="1"/>
  <c r="G49" i="1"/>
  <c r="F49" i="1"/>
  <c r="O48" i="1"/>
  <c r="L48" i="1"/>
  <c r="K48" i="1"/>
  <c r="J48" i="1"/>
  <c r="I48" i="1"/>
  <c r="H48" i="1"/>
  <c r="G48" i="1"/>
  <c r="F48" i="1"/>
  <c r="O47" i="1"/>
  <c r="L47" i="1"/>
  <c r="K47" i="1"/>
  <c r="J47" i="1"/>
  <c r="I47" i="1"/>
  <c r="H47" i="1"/>
  <c r="G47" i="1"/>
  <c r="F47" i="1"/>
  <c r="O46" i="1"/>
  <c r="L46" i="1"/>
  <c r="K46" i="1"/>
  <c r="J46" i="1"/>
  <c r="I46" i="1"/>
  <c r="H46" i="1"/>
  <c r="G46" i="1"/>
  <c r="F46" i="1"/>
  <c r="O45" i="1"/>
  <c r="L45" i="1"/>
  <c r="K45" i="1"/>
  <c r="J45" i="1"/>
  <c r="I45" i="1"/>
  <c r="H45" i="1"/>
  <c r="G45" i="1"/>
  <c r="F45" i="1"/>
  <c r="O44" i="1"/>
  <c r="L44" i="1"/>
  <c r="K44" i="1"/>
  <c r="J44" i="1"/>
  <c r="I44" i="1"/>
  <c r="H44" i="1"/>
  <c r="G44" i="1"/>
  <c r="F44" i="1"/>
  <c r="O43" i="1"/>
  <c r="L43" i="1"/>
  <c r="K43" i="1"/>
  <c r="J43" i="1"/>
  <c r="I43" i="1"/>
  <c r="H43" i="1"/>
  <c r="G43" i="1"/>
  <c r="F43" i="1"/>
  <c r="O42" i="1"/>
  <c r="L42" i="1"/>
  <c r="K42" i="1"/>
  <c r="J42" i="1"/>
  <c r="I42" i="1"/>
  <c r="H42" i="1"/>
  <c r="G42" i="1"/>
  <c r="F42" i="1"/>
  <c r="O41" i="1"/>
  <c r="L41" i="1"/>
  <c r="K41" i="1"/>
  <c r="J41" i="1"/>
  <c r="I41" i="1"/>
  <c r="H41" i="1"/>
  <c r="G41" i="1"/>
  <c r="F41" i="1"/>
  <c r="O40" i="1"/>
  <c r="L40" i="1"/>
  <c r="K40" i="1"/>
  <c r="J40" i="1"/>
  <c r="I40" i="1"/>
  <c r="H40" i="1"/>
  <c r="G40" i="1"/>
  <c r="F40" i="1"/>
  <c r="O39" i="1"/>
  <c r="L39" i="1"/>
  <c r="K39" i="1"/>
  <c r="J39" i="1"/>
  <c r="I39" i="1"/>
  <c r="H39" i="1"/>
  <c r="G39" i="1"/>
  <c r="F39" i="1"/>
  <c r="O38" i="1"/>
  <c r="L38" i="1"/>
  <c r="K38" i="1"/>
  <c r="J38" i="1"/>
  <c r="I38" i="1"/>
  <c r="H38" i="1"/>
  <c r="G38" i="1"/>
  <c r="F38" i="1"/>
  <c r="O37" i="1"/>
  <c r="L37" i="1"/>
  <c r="K37" i="1"/>
  <c r="J37" i="1"/>
  <c r="I37" i="1"/>
  <c r="H37" i="1"/>
  <c r="G37" i="1"/>
  <c r="F37" i="1"/>
  <c r="O36" i="1"/>
  <c r="L36" i="1"/>
  <c r="K36" i="1"/>
  <c r="J36" i="1"/>
  <c r="I36" i="1"/>
  <c r="H36" i="1"/>
  <c r="G36" i="1"/>
  <c r="F36" i="1"/>
  <c r="O35" i="1"/>
  <c r="L35" i="1"/>
  <c r="K35" i="1"/>
  <c r="J35" i="1"/>
  <c r="I35" i="1"/>
  <c r="H35" i="1"/>
  <c r="G35" i="1"/>
  <c r="F35" i="1"/>
  <c r="O34" i="1"/>
  <c r="L34" i="1"/>
  <c r="K34" i="1"/>
  <c r="J34" i="1"/>
  <c r="I34" i="1"/>
  <c r="H34" i="1"/>
  <c r="G34" i="1"/>
  <c r="F34" i="1"/>
  <c r="O33" i="1"/>
  <c r="L33" i="1"/>
  <c r="K33" i="1"/>
  <c r="J33" i="1"/>
  <c r="I33" i="1"/>
  <c r="H33" i="1"/>
  <c r="G33" i="1"/>
  <c r="F33" i="1"/>
  <c r="O32" i="1"/>
  <c r="L32" i="1"/>
  <c r="K32" i="1"/>
  <c r="J32" i="1"/>
  <c r="I32" i="1"/>
  <c r="H32" i="1"/>
  <c r="G32" i="1"/>
  <c r="F32" i="1"/>
  <c r="O31" i="1"/>
  <c r="L31" i="1"/>
  <c r="K31" i="1"/>
  <c r="J31" i="1"/>
  <c r="I31" i="1"/>
  <c r="H31" i="1"/>
  <c r="G31" i="1"/>
  <c r="F31" i="1"/>
  <c r="O30" i="1"/>
  <c r="L30" i="1"/>
  <c r="K30" i="1"/>
  <c r="J30" i="1"/>
  <c r="I30" i="1"/>
  <c r="H30" i="1"/>
  <c r="G30" i="1"/>
  <c r="F30" i="1"/>
  <c r="O29" i="1"/>
  <c r="L29" i="1"/>
  <c r="K29" i="1"/>
  <c r="J29" i="1"/>
  <c r="I29" i="1"/>
  <c r="H29" i="1"/>
  <c r="G29" i="1"/>
  <c r="F29" i="1"/>
  <c r="O28" i="1"/>
  <c r="L28" i="1"/>
  <c r="K28" i="1"/>
  <c r="J28" i="1"/>
  <c r="I28" i="1"/>
  <c r="H28" i="1"/>
  <c r="G28" i="1"/>
  <c r="F28" i="1"/>
  <c r="O27" i="1"/>
  <c r="L27" i="1"/>
  <c r="K27" i="1"/>
  <c r="J27" i="1"/>
  <c r="I27" i="1"/>
  <c r="H27" i="1"/>
  <c r="G27" i="1"/>
  <c r="F27" i="1"/>
  <c r="O26" i="1"/>
  <c r="L26" i="1"/>
  <c r="K26" i="1"/>
  <c r="J26" i="1"/>
  <c r="I26" i="1"/>
  <c r="H26" i="1"/>
  <c r="G26" i="1"/>
  <c r="F26" i="1"/>
  <c r="O25" i="1"/>
  <c r="L25" i="1"/>
  <c r="K25" i="1"/>
  <c r="J25" i="1"/>
  <c r="I25" i="1"/>
  <c r="H25" i="1"/>
  <c r="G25" i="1"/>
  <c r="F25" i="1"/>
  <c r="O24" i="1"/>
  <c r="L24" i="1"/>
  <c r="K24" i="1"/>
  <c r="J24" i="1"/>
  <c r="I24" i="1"/>
  <c r="H24" i="1"/>
  <c r="G24" i="1"/>
  <c r="F24" i="1"/>
  <c r="O23" i="1"/>
  <c r="L23" i="1"/>
  <c r="K23" i="1"/>
  <c r="J23" i="1"/>
  <c r="I23" i="1"/>
  <c r="H23" i="1"/>
  <c r="G23" i="1"/>
  <c r="F23" i="1"/>
  <c r="O22" i="1"/>
  <c r="L22" i="1"/>
  <c r="K22" i="1"/>
  <c r="J22" i="1"/>
  <c r="I22" i="1"/>
  <c r="H22" i="1"/>
  <c r="G22" i="1"/>
  <c r="F22" i="1"/>
  <c r="O21" i="1"/>
  <c r="L21" i="1"/>
  <c r="K21" i="1"/>
  <c r="J21" i="1"/>
  <c r="I21" i="1"/>
  <c r="H21" i="1"/>
  <c r="G21" i="1"/>
  <c r="F21" i="1"/>
  <c r="O20" i="1"/>
  <c r="L20" i="1"/>
  <c r="K20" i="1"/>
  <c r="J20" i="1"/>
  <c r="I20" i="1"/>
  <c r="H20" i="1"/>
  <c r="G20" i="1"/>
  <c r="F20" i="1"/>
  <c r="O19" i="1"/>
  <c r="L19" i="1"/>
  <c r="K19" i="1"/>
  <c r="J19" i="1"/>
  <c r="I19" i="1"/>
  <c r="H19" i="1"/>
  <c r="G19" i="1"/>
  <c r="F19" i="1"/>
  <c r="O18" i="1"/>
  <c r="L18" i="1"/>
  <c r="K18" i="1"/>
  <c r="J18" i="1"/>
  <c r="I18" i="1"/>
  <c r="H18" i="1"/>
  <c r="G18" i="1"/>
  <c r="F18" i="1"/>
  <c r="O17" i="1"/>
  <c r="L17" i="1"/>
  <c r="K17" i="1"/>
  <c r="J17" i="1"/>
  <c r="I17" i="1"/>
  <c r="H17" i="1"/>
  <c r="G17" i="1"/>
  <c r="F17" i="1"/>
  <c r="O16" i="1"/>
  <c r="L16" i="1"/>
  <c r="K16" i="1"/>
  <c r="J16" i="1"/>
  <c r="I16" i="1"/>
  <c r="H16" i="1"/>
  <c r="G16" i="1"/>
  <c r="F16" i="1"/>
  <c r="O15" i="1"/>
  <c r="L15" i="1"/>
  <c r="K15" i="1"/>
  <c r="J15" i="1"/>
  <c r="I15" i="1"/>
  <c r="H15" i="1"/>
  <c r="G15" i="1"/>
  <c r="F15" i="1"/>
  <c r="O14" i="1"/>
  <c r="L14" i="1"/>
  <c r="K14" i="1"/>
  <c r="J14" i="1"/>
  <c r="I14" i="1"/>
  <c r="H14" i="1"/>
  <c r="G14" i="1"/>
  <c r="F14" i="1"/>
  <c r="O13" i="1"/>
  <c r="L13" i="1"/>
  <c r="K13" i="1"/>
  <c r="J13" i="1"/>
  <c r="I13" i="1"/>
  <c r="H13" i="1"/>
  <c r="G13" i="1"/>
  <c r="F13" i="1"/>
  <c r="O12" i="1"/>
  <c r="L12" i="1"/>
  <c r="K12" i="1"/>
  <c r="J12" i="1"/>
  <c r="I12" i="1"/>
  <c r="H12" i="1"/>
  <c r="G12" i="1"/>
  <c r="F12" i="1"/>
  <c r="O11" i="1"/>
  <c r="L11" i="1"/>
  <c r="K11" i="1"/>
  <c r="J11" i="1"/>
  <c r="I11" i="1"/>
  <c r="H11" i="1"/>
  <c r="G11" i="1"/>
  <c r="F11" i="1"/>
  <c r="O10" i="1"/>
  <c r="L10" i="1"/>
  <c r="K10" i="1"/>
  <c r="J10" i="1"/>
  <c r="I10" i="1"/>
  <c r="H10" i="1"/>
  <c r="G10" i="1"/>
  <c r="F10" i="1"/>
  <c r="O9" i="1"/>
  <c r="L9" i="1"/>
  <c r="K9" i="1"/>
  <c r="J9" i="1"/>
  <c r="I9" i="1"/>
  <c r="H9" i="1"/>
  <c r="G9" i="1"/>
  <c r="F9" i="1"/>
  <c r="O8" i="1"/>
  <c r="L8" i="1"/>
  <c r="K8" i="1"/>
  <c r="J8" i="1"/>
  <c r="I8" i="1"/>
  <c r="H8" i="1"/>
  <c r="G8" i="1"/>
  <c r="F8" i="1"/>
  <c r="O7" i="1"/>
  <c r="L7" i="1"/>
  <c r="K7" i="1"/>
  <c r="J7" i="1"/>
  <c r="I7" i="1"/>
  <c r="H7" i="1"/>
  <c r="G7" i="1"/>
  <c r="F7" i="1"/>
  <c r="O6" i="1"/>
  <c r="L6" i="1"/>
  <c r="K6" i="1"/>
  <c r="J6" i="1"/>
  <c r="I6" i="1"/>
  <c r="H6" i="1"/>
  <c r="G6" i="1"/>
  <c r="F6" i="1"/>
  <c r="O5" i="1"/>
  <c r="L5" i="1"/>
  <c r="K5" i="1"/>
  <c r="J5" i="1"/>
  <c r="I5" i="1"/>
  <c r="H5" i="1"/>
  <c r="G5" i="1"/>
  <c r="F5" i="1"/>
  <c r="O4" i="1"/>
  <c r="L4" i="1"/>
  <c r="K4" i="1"/>
  <c r="J4" i="1"/>
  <c r="I4" i="1"/>
  <c r="H4" i="1"/>
  <c r="G4" i="1"/>
  <c r="F4" i="1"/>
  <c r="O3" i="1"/>
  <c r="L3" i="1"/>
  <c r="K3" i="1"/>
  <c r="J3" i="1"/>
  <c r="I3" i="1"/>
  <c r="H3" i="1"/>
  <c r="G3" i="1"/>
  <c r="F3" i="1"/>
  <c r="Q2" i="1"/>
  <c r="P2" i="1"/>
  <c r="O2" i="1"/>
  <c r="L2" i="1"/>
  <c r="K2" i="1"/>
  <c r="J2" i="1"/>
  <c r="I2" i="1"/>
  <c r="H2" i="1"/>
  <c r="G2" i="1"/>
  <c r="F2" i="1"/>
  <c r="E2" i="1" a="1"/>
  <c r="D2" i="1" a="1"/>
  <c r="C2" i="1" a="1"/>
  <c r="B2" i="1" a="1"/>
  <c r="F3" i="5"/>
  <c r="D3" i="5"/>
  <c r="C3" i="5"/>
  <c r="E3" i="5" s="1"/>
  <c r="F2" i="5"/>
  <c r="D2" i="5"/>
  <c r="C2" i="5"/>
  <c r="E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7DCBDC-3F33-499D-A588-8E6453160C56}" keepAlive="1" name="Query - companies" description="Connection to the 'companies' query in the workbook." type="5" refreshedVersion="8" background="1" saveData="1">
    <dbPr connection="Provider=Microsoft.Mashup.OleDb.1;Data Source=$Workbook$;Location=companies;Extended Properties=&quot;&quot;" command="SELECT * FROM [companies]"/>
  </connection>
  <connection id="2" xr16:uid="{189AA3AA-68EA-480A-8E7E-BB63F875FFE9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<sst xmlns="http://schemas.openxmlformats.org/spreadsheetml/2006/main" count="10215" uniqueCount="578">
  <si>
    <t>adsh</t>
  </si>
  <si>
    <t>cik</t>
  </si>
  <si>
    <t>name</t>
  </si>
  <si>
    <t>sic</t>
  </si>
  <si>
    <t>fye</t>
  </si>
  <si>
    <t>form</t>
  </si>
  <si>
    <t>period</t>
  </si>
  <si>
    <t>0000039311-26-000009</t>
  </si>
  <si>
    <t>INDEPENDENT BANK CORP /MI/</t>
  </si>
  <si>
    <t>10-K</t>
  </si>
  <si>
    <t>0000706129-26-000024</t>
  </si>
  <si>
    <t>HORIZON BANCORP INC /IN/</t>
  </si>
  <si>
    <t>0000706863-26-000029</t>
  </si>
  <si>
    <t>UNION BANKSHARES INC</t>
  </si>
  <si>
    <t>0000711669-26-000007</t>
  </si>
  <si>
    <t>COLONY BANKCORP INC</t>
  </si>
  <si>
    <t>0000714562-26-000014</t>
  </si>
  <si>
    <t>FIRST FINANCIAL CORP /IN/</t>
  </si>
  <si>
    <t>0000717538-26-000037</t>
  </si>
  <si>
    <t>ARROW FINANCIAL CORP</t>
  </si>
  <si>
    <t>0000723646-26-000016</t>
  </si>
  <si>
    <t>FRANKLIN FINANCIAL SERVICES CORP /PA/</t>
  </si>
  <si>
    <t>0000732417-26-000022</t>
  </si>
  <si>
    <t>HILLS BANCORPORATION</t>
  </si>
  <si>
    <t>0000736772-26-000031</t>
  </si>
  <si>
    <t>CNB FINANCIAL CORP/PA</t>
  </si>
  <si>
    <t>0000737875-26-000009</t>
  </si>
  <si>
    <t>FIRST KEYSTONE CORP</t>
  </si>
  <si>
    <t>0000750686-26-000010</t>
  </si>
  <si>
    <t>CAMDEN NATIONAL CORP</t>
  </si>
  <si>
    <t>0000765207-26-000067</t>
  </si>
  <si>
    <t>FIRST BANCORP, INC /ME/</t>
  </si>
  <si>
    <t>0000775215-26-000025</t>
  </si>
  <si>
    <t>HBT FINANCIAL, INC.</t>
  </si>
  <si>
    <t>0000842517-26-000069</t>
  </si>
  <si>
    <t>ISABELLA BANK CORP</t>
  </si>
  <si>
    <t>0000879635-26-000026</t>
  </si>
  <si>
    <t>MID PENN BANCORP INC</t>
  </si>
  <si>
    <t>0000880641-26-000004</t>
  </si>
  <si>
    <t>EAGLE FINANCIAL SERVICES INC</t>
  </si>
  <si>
    <t>0000893847-26-000037</t>
  </si>
  <si>
    <t>HAWTHORN BANCSHARES, INC.</t>
  </si>
  <si>
    <t>0000913341-26-000010</t>
  </si>
  <si>
    <t>C &amp; F FINANCIAL CORP</t>
  </si>
  <si>
    <t>0000920427-26-000012</t>
  </si>
  <si>
    <t>UNITY BANCORP INC /NJ/</t>
  </si>
  <si>
    <t>0001013272-26-000003</t>
  </si>
  <si>
    <t>NORWOOD FINANCIAL CORP</t>
  </si>
  <si>
    <t>0001050441-26-000021</t>
  </si>
  <si>
    <t>EAGLE BANCORP INC</t>
  </si>
  <si>
    <t>0001071236-26-000027</t>
  </si>
  <si>
    <t>RED RIVER BANCSHARES INC</t>
  </si>
  <si>
    <t>0001104659-26-024523</t>
  </si>
  <si>
    <t>REPUBLIC BANCORP INC /KY/</t>
  </si>
  <si>
    <t>0001104659-26-024613</t>
  </si>
  <si>
    <t>CITIZENS &amp; NORTHERN CORP</t>
  </si>
  <si>
    <t>0001104659-26-024646</t>
  </si>
  <si>
    <t>FLUSHING FINANCIAL CORP</t>
  </si>
  <si>
    <t>0001104659-26-024659</t>
  </si>
  <si>
    <t>GREAT SOUTHERN BANCORP, INC.</t>
  </si>
  <si>
    <t>0001104659-26-025836</t>
  </si>
  <si>
    <t>FIRST UNITED CORP/MD/</t>
  </si>
  <si>
    <t>0001104659-26-027217</t>
  </si>
  <si>
    <t>BAR HARBOR BANKSHARES</t>
  </si>
  <si>
    <t>0001104659-26-027378</t>
  </si>
  <si>
    <t>JOHN MARSHALL BANCORP, INC.</t>
  </si>
  <si>
    <t>0001104659-26-027651</t>
  </si>
  <si>
    <t>HANOVER BANCORP, INC. /MD</t>
  </si>
  <si>
    <t>0001104659-26-028106</t>
  </si>
  <si>
    <t>PEOPLES FINANCIAL SERVICES CORP.</t>
  </si>
  <si>
    <t>0001104659-26-028308</t>
  </si>
  <si>
    <t>ORANGE COUNTY BANCORP, INC. /DE/</t>
  </si>
  <si>
    <t>0001104659-26-028501</t>
  </si>
  <si>
    <t>FIRST FOUNDATION INC.</t>
  </si>
  <si>
    <t>0001104659-26-028542</t>
  </si>
  <si>
    <t>SMARTFINANCIAL INC.</t>
  </si>
  <si>
    <t>0001104659-26-028599</t>
  </si>
  <si>
    <t>PRIMIS FINANCIAL CORP.</t>
  </si>
  <si>
    <t>0001104659-26-030236</t>
  </si>
  <si>
    <t>PEOPLES FINANCIAL CORP /MS/</t>
  </si>
  <si>
    <t>0001104659-26-030899</t>
  </si>
  <si>
    <t>UNITED BANCORP INC /OH/</t>
  </si>
  <si>
    <t>0001104659-26-031270</t>
  </si>
  <si>
    <t>AMERISERV FINANCIAL INC /PA/</t>
  </si>
  <si>
    <t>0001104659-26-034395</t>
  </si>
  <si>
    <t>JUNIATA VALLEY FINANCIAL CORP</t>
  </si>
  <si>
    <t>0001104659-26-036813</t>
  </si>
  <si>
    <t>SENECA BANCORP, INC.</t>
  </si>
  <si>
    <t>0001137547-26-000011</t>
  </si>
  <si>
    <t>UNITED SECURITY BANCSHARES</t>
  </si>
  <si>
    <t>0001140361-26-008087</t>
  </si>
  <si>
    <t>SOUTH PLAINS FINANCIAL, INC.</t>
  </si>
  <si>
    <t>0001140361-26-009103</t>
  </si>
  <si>
    <t>CITIZENS FINANCIAL SERVICES INC</t>
  </si>
  <si>
    <t>0001140361-26-009342</t>
  </si>
  <si>
    <t>OHIO VALLEY BANC CORP</t>
  </si>
  <si>
    <t>0001140361-26-009383</t>
  </si>
  <si>
    <t>FARMERS &amp; MERCHANTS BANCORP</t>
  </si>
  <si>
    <t>0001140361-26-009576</t>
  </si>
  <si>
    <t>TRUSTCO BANK CORP N Y</t>
  </si>
  <si>
    <t>0001140361-26-009657</t>
  </si>
  <si>
    <t>BANK7 CORP.</t>
  </si>
  <si>
    <t>0001174947-26-000299</t>
  </si>
  <si>
    <t>MUNCY COLUMBIA FINANCIAL CORP</t>
  </si>
  <si>
    <t>0001174947-26-000410</t>
  </si>
  <si>
    <t>ENB FINANCIAL CORP</t>
  </si>
  <si>
    <t>0001193125-26-085756</t>
  </si>
  <si>
    <t>POPULAR, INC.</t>
  </si>
  <si>
    <t>0001193125-26-093397</t>
  </si>
  <si>
    <t>UWHARRIE CAPITAL CORP</t>
  </si>
  <si>
    <t>0001193125-26-096665</t>
  </si>
  <si>
    <t>EQUITY BANCSHARES INC</t>
  </si>
  <si>
    <t>0001193125-26-096836</t>
  </si>
  <si>
    <t>CIVISTA BANCSHARES, INC.</t>
  </si>
  <si>
    <t>0001193125-26-098059</t>
  </si>
  <si>
    <t>BANCPLUS CORP</t>
  </si>
  <si>
    <t>0001193125-26-098467</t>
  </si>
  <si>
    <t>FINANCIAL INSTITUTIONS INC</t>
  </si>
  <si>
    <t>0001193125-26-099933</t>
  </si>
  <si>
    <t>RIVER FINANCIAL CORP</t>
  </si>
  <si>
    <t>0001193125-26-103635</t>
  </si>
  <si>
    <t>FIRST US BANCSHARES, INC.</t>
  </si>
  <si>
    <t>0001193125-26-103638</t>
  </si>
  <si>
    <t>CF BANKSHARES INC.</t>
  </si>
  <si>
    <t>0001193125-26-104114</t>
  </si>
  <si>
    <t>COASTALSOUTH BANCSHARES, INC.</t>
  </si>
  <si>
    <t>0001193125-26-104211</t>
  </si>
  <si>
    <t>LINKBANCORP, INC.</t>
  </si>
  <si>
    <t>0001193125-26-104410</t>
  </si>
  <si>
    <t>BLUE RIDGE BANKSHARES, INC.</t>
  </si>
  <si>
    <t>0001193125-26-105046</t>
  </si>
  <si>
    <t>CHOICEONE FINANCIAL SERVICES INC</t>
  </si>
  <si>
    <t>0001193125-26-106151</t>
  </si>
  <si>
    <t>PRINCETON BANCORP, INC.</t>
  </si>
  <si>
    <t>0001193125-26-107482</t>
  </si>
  <si>
    <t>QNB CORP.</t>
  </si>
  <si>
    <t>0001193125-26-108381</t>
  </si>
  <si>
    <t>CSB BANCORP, INC.</t>
  </si>
  <si>
    <t>0001193125-26-111012</t>
  </si>
  <si>
    <t>AUBURN NATIONAL BANCORPORATION, INC</t>
  </si>
  <si>
    <t>0001193125-26-128311</t>
  </si>
  <si>
    <t>NATIONAL BANKSHARES INC</t>
  </si>
  <si>
    <t>0001193125-26-128416</t>
  </si>
  <si>
    <t>VIRGINIA NATIONAL BANKSHARES CORP</t>
  </si>
  <si>
    <t>0001193125-26-129567</t>
  </si>
  <si>
    <t>GBANK FINANCIAL HOLDINGS INC.</t>
  </si>
  <si>
    <t>0001193125-26-132075</t>
  </si>
  <si>
    <t>PATHFINDER BANCORP, INC.</t>
  </si>
  <si>
    <t>0001213900-26-024471</t>
  </si>
  <si>
    <t>SB FINANCIAL GROUP, INC.</t>
  </si>
  <si>
    <t>0001213900-26-033659</t>
  </si>
  <si>
    <t>COMMERCIAL BANCGROUP, INC.</t>
  </si>
  <si>
    <t>0001275101-26-000010</t>
  </si>
  <si>
    <t>BANK OF THE JAMES FINANCIAL GROUP INC</t>
  </si>
  <si>
    <t>0001277902-26-000030</t>
  </si>
  <si>
    <t>MVB FINANCIAL CORP</t>
  </si>
  <si>
    <t>0001336706-26-000020</t>
  </si>
  <si>
    <t>NORTHPOINTE BANCSHARES INC</t>
  </si>
  <si>
    <t>0001403475-26-000018</t>
  </si>
  <si>
    <t>BANK OF MARIN BANCORP</t>
  </si>
  <si>
    <t>0001419536-26-000073</t>
  </si>
  <si>
    <t>CAPITAL BANCORP INC</t>
  </si>
  <si>
    <t>0001423869-26-000006</t>
  </si>
  <si>
    <t>PCB BANCORP</t>
  </si>
  <si>
    <t>0001437749-26-006157</t>
  </si>
  <si>
    <t>CATHAY GENERAL BANCORP</t>
  </si>
  <si>
    <t>0001437749-26-006820</t>
  </si>
  <si>
    <t>ALERUS FINANCIAL CORP</t>
  </si>
  <si>
    <t>0001437749-26-007084</t>
  </si>
  <si>
    <t>FARMERS NATIONAL BANC CORP /OH/</t>
  </si>
  <si>
    <t>0001437749-26-007180</t>
  </si>
  <si>
    <t>FIRST COMMUNITY BANKSHARES INC /VA/</t>
  </si>
  <si>
    <t>0001437749-26-007330</t>
  </si>
  <si>
    <t>EAGLE BANCORP MONTANA, INC.</t>
  </si>
  <si>
    <t>0001437749-26-007387</t>
  </si>
  <si>
    <t>RBB BANCORP</t>
  </si>
  <si>
    <t>0001437749-26-007748</t>
  </si>
  <si>
    <t>PARKE BANCORP, INC.</t>
  </si>
  <si>
    <t>0001437749-26-007758</t>
  </si>
  <si>
    <t>LCNB CORP</t>
  </si>
  <si>
    <t>0001437749-26-007976</t>
  </si>
  <si>
    <t>AMES NATIONAL CORP</t>
  </si>
  <si>
    <t>0001437749-26-008073</t>
  </si>
  <si>
    <t>MAINSTREET BANCSHARES, INC.</t>
  </si>
  <si>
    <t>0001437749-26-008215</t>
  </si>
  <si>
    <t>FIDELITY D &amp; D BANCORP INC</t>
  </si>
  <si>
    <t>0001437749-26-008446</t>
  </si>
  <si>
    <t>INVESTAR HOLDING CORP</t>
  </si>
  <si>
    <t>0001437749-26-008852</t>
  </si>
  <si>
    <t>AVIDBANK HOLDINGS, INC.</t>
  </si>
  <si>
    <t>0001437749-26-009154</t>
  </si>
  <si>
    <t>SKYLINE BANKSHARES, INC.</t>
  </si>
  <si>
    <t>0001437749-26-009181</t>
  </si>
  <si>
    <t>SECURITY FEDERAL CORP</t>
  </si>
  <si>
    <t>0001437749-26-009748</t>
  </si>
  <si>
    <t>FIRST NATIONAL CORP /VA/</t>
  </si>
  <si>
    <t>0001437749-26-009757</t>
  </si>
  <si>
    <t>OAK VALLEY BANCORP</t>
  </si>
  <si>
    <t>0001437749-26-010240</t>
  </si>
  <si>
    <t>STEELE BANCORP INC</t>
  </si>
  <si>
    <t>0001449794-26-000003</t>
  </si>
  <si>
    <t>EMBASSY BANCORP, INC.</t>
  </si>
  <si>
    <t>0001466026-26-000020</t>
  </si>
  <si>
    <t>MIDLAND STATES BANCORP, INC.</t>
  </si>
  <si>
    <t>0001493152-26-009243</t>
  </si>
  <si>
    <t>TRI-COUNTY FINANCIAL GROUP, INC.</t>
  </si>
  <si>
    <t>0001505732-26-000046</t>
  </si>
  <si>
    <t>BANKWELL FINANCIAL GROUP, INC.</t>
  </si>
  <si>
    <t>0001518715-26-000026</t>
  </si>
  <si>
    <t>MECHANICS BANCORP</t>
  </si>
  <si>
    <t>0001552781-26-000126</t>
  </si>
  <si>
    <t>FIRST COMMUNITY CORP /SC/</t>
  </si>
  <si>
    <t>0001562463-26-000022</t>
  </si>
  <si>
    <t>FIRST INTERNET BANCORP</t>
  </si>
  <si>
    <t>0001562762-26-000027</t>
  </si>
  <si>
    <t>USCB FINANCIAL HOLDINGS, INC.</t>
  </si>
  <si>
    <t>0001605301-26-000009</t>
  </si>
  <si>
    <t>CB FINANCIAL SERVICES, INC.</t>
  </si>
  <si>
    <t>0001628280-26-016050</t>
  </si>
  <si>
    <t>HERITAGE COMMERCE CORP</t>
  </si>
  <si>
    <t>0001628280-26-016503</t>
  </si>
  <si>
    <t>NEWTEKONE, INC.</t>
  </si>
  <si>
    <t>0001628280-26-016895</t>
  </si>
  <si>
    <t>COMMUNITY WEST BANCSHARES</t>
  </si>
  <si>
    <t>0001628280-26-017229</t>
  </si>
  <si>
    <t>ACNB CORP</t>
  </si>
  <si>
    <t>0001628280-26-017278</t>
  </si>
  <si>
    <t>ORRSTOWN FINANCIAL SERVICES INC</t>
  </si>
  <si>
    <t>0001628280-26-017546</t>
  </si>
  <si>
    <t>CHEMUNG FINANCIAL CORP</t>
  </si>
  <si>
    <t>0001628280-26-020177</t>
  </si>
  <si>
    <t>CHAIN BRIDGE BANCORP INC</t>
  </si>
  <si>
    <t>0001628280-26-020414</t>
  </si>
  <si>
    <t>RICHMOND MUTUAL BANCORPORATION, INC.</t>
  </si>
  <si>
    <t>0001628280-26-021067</t>
  </si>
  <si>
    <t>CENTRAL BANCOMPANY, INC.</t>
  </si>
  <si>
    <t>0001649739-26-000014</t>
  </si>
  <si>
    <t>BAYFIRST FINANCIAL CORP.</t>
  </si>
  <si>
    <t>0001654954-26-002154</t>
  </si>
  <si>
    <t>PEOPLES BANCORP OF NORTH CAROLINA INC</t>
  </si>
  <si>
    <t>0001654954-26-002870</t>
  </si>
  <si>
    <t>COMMUNITY BANCORP /VT</t>
  </si>
  <si>
    <t>0001654954-26-002891</t>
  </si>
  <si>
    <t>F&amp;M BANK CORP</t>
  </si>
  <si>
    <t>0001675644-26-000017</t>
  </si>
  <si>
    <t>FVCBANKCORP, INC.</t>
  </si>
  <si>
    <t>0001709442-26-000017</t>
  </si>
  <si>
    <t>FIRSTSUN CAPITAL BANCORP</t>
  </si>
  <si>
    <t>0001722010-26-000002</t>
  </si>
  <si>
    <t>OP BANCORP</t>
  </si>
  <si>
    <t>0001730984-26-000016</t>
  </si>
  <si>
    <t>BAYCOM CORP</t>
  </si>
  <si>
    <t>0001747068-26-000010</t>
  </si>
  <si>
    <t>METROCITY BANKSHARES, INC.</t>
  </si>
  <si>
    <t>0001750735-26-000009</t>
  </si>
  <si>
    <t>MERIDIAN CORP</t>
  </si>
  <si>
    <t>0001795815-26-000005</t>
  </si>
  <si>
    <t>CALIFORNIA BANCORP  CA</t>
  </si>
  <si>
    <t>0001823608-26-000048</t>
  </si>
  <si>
    <t>AMALGAMATED FINANCIAL CORP.</t>
  </si>
  <si>
    <t>0001829576-26-000018</t>
  </si>
  <si>
    <t>CARTER BANKSHARES, INC.</t>
  </si>
  <si>
    <t>0001856365-26-000006</t>
  </si>
  <si>
    <t>FINWISE BANCORP</t>
  </si>
  <si>
    <t>0002082866-26-000018</t>
  </si>
  <si>
    <t>PINNACLE FINANCIAL PARTNERS, INC.</t>
  </si>
  <si>
    <t>0001628280-26-022508</t>
  </si>
  <si>
    <t>PATRIOT NATIONAL BANCORP INC</t>
  </si>
  <si>
    <t>0001903596-26-000116</t>
  </si>
  <si>
    <t>NEW PEOPLES BANKSHARES INC</t>
  </si>
  <si>
    <t>0000007789-26-000071</t>
  </si>
  <si>
    <t>ASSOCIATED BANC-CORP</t>
  </si>
  <si>
    <t>0000022356-26-000069</t>
  </si>
  <si>
    <t>COMMERCE BANCSHARES INC /MO/</t>
  </si>
  <si>
    <t>0000034782-26-000011</t>
  </si>
  <si>
    <t>1ST SOURCE CORP</t>
  </si>
  <si>
    <t>0000035527-26-000124</t>
  </si>
  <si>
    <t>FIFTH THIRD BANCORP</t>
  </si>
  <si>
    <t>0000036104-26-000011</t>
  </si>
  <si>
    <t>US BANCORP DE</t>
  </si>
  <si>
    <t>0000036270-26-000010</t>
  </si>
  <si>
    <t>M&amp;T BANK CORP</t>
  </si>
  <si>
    <t>0000036966-26-000051</t>
  </si>
  <si>
    <t>FIRST HORIZON CORP</t>
  </si>
  <si>
    <t>0000037808-26-000007</t>
  </si>
  <si>
    <t>FNB CORP/PA/</t>
  </si>
  <si>
    <t>0000039263-26-000011</t>
  </si>
  <si>
    <t>CULLEN/FROST BANKERS, INC.</t>
  </si>
  <si>
    <t>0000040729-26-000005</t>
  </si>
  <si>
    <t>ALLY FINANCIAL INC.</t>
  </si>
  <si>
    <t>0000046195-26-000015</t>
  </si>
  <si>
    <t>BANK OF HAWAII CORP</t>
  </si>
  <si>
    <t>0000049196-26-000015</t>
  </si>
  <si>
    <t>HUNTINGTON BANCSHARES INC /MD/</t>
  </si>
  <si>
    <t>0000070858-26-000157</t>
  </si>
  <si>
    <t>BANK OF AMERICA CORP /DE/</t>
  </si>
  <si>
    <t>0000072971-26-000133</t>
  </si>
  <si>
    <t>WELLS FARGO &amp; COMPANY/MN</t>
  </si>
  <si>
    <t>0000073124-26-000016</t>
  </si>
  <si>
    <t>NORTHERN TRUST CORP</t>
  </si>
  <si>
    <t>0000083246-26-000005</t>
  </si>
  <si>
    <t>HSBC USA INC /MD/</t>
  </si>
  <si>
    <t>0000092230-26-000030</t>
  </si>
  <si>
    <t>TRUIST FINANCIAL CORP</t>
  </si>
  <si>
    <t>0000093751-26-000124</t>
  </si>
  <si>
    <t>STATE STREET CORP</t>
  </si>
  <si>
    <t>0000102212-26-000012</t>
  </si>
  <si>
    <t>UNIVEST FINANCIAL CORP</t>
  </si>
  <si>
    <t>0000109380-26-000046</t>
  </si>
  <si>
    <t>ZIONS BANCORPORATION, NATIONAL ASSOCIATION /UT/</t>
  </si>
  <si>
    <t>0000314489-26-000013</t>
  </si>
  <si>
    <t>FIRST BUSEY CORP /NV/</t>
  </si>
  <si>
    <t>0000318300-26-000099</t>
  </si>
  <si>
    <t>PEOPLES BANCORP INC</t>
  </si>
  <si>
    <t>0000351569-26-000050</t>
  </si>
  <si>
    <t>AMERIS BANCORP</t>
  </si>
  <si>
    <t>0000356171-26-000010</t>
  </si>
  <si>
    <t>TRICO BANCSHARES /</t>
  </si>
  <si>
    <t>0000700564-26-000006</t>
  </si>
  <si>
    <t>FULTON FINANCIAL CORP</t>
  </si>
  <si>
    <t>0000701347-26-000021</t>
  </si>
  <si>
    <t>CENTRAL PACIFIC FINANCIAL CORP</t>
  </si>
  <si>
    <t>0000705432-26-000034</t>
  </si>
  <si>
    <t>SOUTHSIDE BANCSHARES INC</t>
  </si>
  <si>
    <t>0000707179-26-000010</t>
  </si>
  <si>
    <t>OLD NATIONAL BANCORP /IN/</t>
  </si>
  <si>
    <t>0000708955-26-000028</t>
  </si>
  <si>
    <t>FIRST FINANCIAL BANCORP /OH/</t>
  </si>
  <si>
    <t>0000712534-26-000022</t>
  </si>
  <si>
    <t>FIRST MERCHANTS CORP</t>
  </si>
  <si>
    <t>0000712537-26-000013</t>
  </si>
  <si>
    <t>FIRST COMMONWEALTH FINANCIAL CORP /PA/</t>
  </si>
  <si>
    <t>0000713676-26-000020</t>
  </si>
  <si>
    <t>PNC FINANCIAL SERVICES GROUP, INC.</t>
  </si>
  <si>
    <t>0000714310-26-000017</t>
  </si>
  <si>
    <t>VALLEY NATIONAL BANCORP</t>
  </si>
  <si>
    <t>0000714395-26-000011</t>
  </si>
  <si>
    <t>GERMAN AMERICAN BANCORP, INC.</t>
  </si>
  <si>
    <t>0000715072-26-000017</t>
  </si>
  <si>
    <t>RENASANT CORP</t>
  </si>
  <si>
    <t>0000719220-26-000030</t>
  </si>
  <si>
    <t>S&amp;T BANCORP INC</t>
  </si>
  <si>
    <t>0000721994-26-000018</t>
  </si>
  <si>
    <t>LAKELAND FINANCIAL CORP</t>
  </si>
  <si>
    <t>0000726601-26-000007</t>
  </si>
  <si>
    <t>CAPITAL CITY BANK GROUP INC</t>
  </si>
  <si>
    <t>0000726854-26-000062</t>
  </si>
  <si>
    <t>CITY HOLDING CO</t>
  </si>
  <si>
    <t>0000737468-26-000034</t>
  </si>
  <si>
    <t>WASHINGTON TRUST BANCORP INC</t>
  </si>
  <si>
    <t>0000759944-26-000028</t>
  </si>
  <si>
    <t>CITIZENS FINANCIAL GROUP INC/RI</t>
  </si>
  <si>
    <t>0000776901-26-000058</t>
  </si>
  <si>
    <t>INDEPENDENT BANK CORP</t>
  </si>
  <si>
    <t>0000798941-26-000015</t>
  </si>
  <si>
    <t>FIRST CITIZENS BANCSHARES INC /DE/</t>
  </si>
  <si>
    <t>0000801337-26-000008</t>
  </si>
  <si>
    <t>WEBSTER FINANCIAL CORP</t>
  </si>
  <si>
    <t>0000805676-26-000017</t>
  </si>
  <si>
    <t>PARK NATIONAL CORP /OH/</t>
  </si>
  <si>
    <t>0000811589-26-000051</t>
  </si>
  <si>
    <t>FIRST BANCORP /NC/</t>
  </si>
  <si>
    <t>0000811830-26-000005</t>
  </si>
  <si>
    <t>SANTANDER HOLDINGS USA, INC.</t>
  </si>
  <si>
    <t>0000828944-26-000006</t>
  </si>
  <si>
    <t>WSFS FINANCIAL CORP</t>
  </si>
  <si>
    <t>0000831001-26-000011</t>
  </si>
  <si>
    <t>CITIGROUP INC</t>
  </si>
  <si>
    <t>0000846617-26-000013</t>
  </si>
  <si>
    <t>DIME COMMUNITY BANCSHARES, INC. /NY/</t>
  </si>
  <si>
    <t>0000857855-26-000008</t>
  </si>
  <si>
    <t>UNITED COMMUNITY BANKS INC</t>
  </si>
  <si>
    <t>0000860413-26-000011</t>
  </si>
  <si>
    <t>FIRST INTERSTATE BANCSYSTEM INC</t>
  </si>
  <si>
    <t>0000868671-26-000023</t>
  </si>
  <si>
    <t>GLACIER BANCORP, INC.</t>
  </si>
  <si>
    <t>0000875357-26-000013</t>
  </si>
  <si>
    <t>BOK FINANCIAL CORP</t>
  </si>
  <si>
    <t>0000883948-26-000021</t>
  </si>
  <si>
    <t>ATLANTIC UNION BANKSHARES CORP</t>
  </si>
  <si>
    <t>0000887343-26-000088</t>
  </si>
  <si>
    <t>COLUMBIA BANKING SYSTEM, INC.</t>
  </si>
  <si>
    <t>0000927628-26-000024</t>
  </si>
  <si>
    <t>CAPITAL ONE FINANCIAL CORP</t>
  </si>
  <si>
    <t>0000946673-26-000009</t>
  </si>
  <si>
    <t>BANNER CORP</t>
  </si>
  <si>
    <t>0001004702-26-000015</t>
  </si>
  <si>
    <t>OCEANFIRST FINANCIAL CORP</t>
  </si>
  <si>
    <t>0001005817-26-000027</t>
  </si>
  <si>
    <t>TOMPKINS FINANCIAL CORP</t>
  </si>
  <si>
    <t>0001015328-26-000007</t>
  </si>
  <si>
    <t>WINTRUST FINANCIAL CORP</t>
  </si>
  <si>
    <t>0001025835-26-000058</t>
  </si>
  <si>
    <t>ENTERPRISE FINANCIAL SERVICES CORP</t>
  </si>
  <si>
    <t>0001030469-26-000008</t>
  </si>
  <si>
    <t>OFG BANCORP</t>
  </si>
  <si>
    <t>0001035092-26-000014</t>
  </si>
  <si>
    <t>SHORE BANCSHARES INC</t>
  </si>
  <si>
    <t>0001057706-26-000007</t>
  </si>
  <si>
    <t>FIRST BANCORP /PR/</t>
  </si>
  <si>
    <t>0001069157-26-000009</t>
  </si>
  <si>
    <t>EAST WEST BANCORP INC</t>
  </si>
  <si>
    <t>0001077428-26-000010</t>
  </si>
  <si>
    <t>TEXAS CAPITAL BANCSHARES INC/TX</t>
  </si>
  <si>
    <t>0001104659-26-015264</t>
  </si>
  <si>
    <t>HILLTOP HOLDINGS INC.</t>
  </si>
  <si>
    <t>0001104659-26-017884</t>
  </si>
  <si>
    <t>SOUTHSTATE BANK CORP</t>
  </si>
  <si>
    <t>0001104659-26-018208</t>
  </si>
  <si>
    <t>METROPOLITAN BANK HOLDING CORP.</t>
  </si>
  <si>
    <t>0001104659-26-019119</t>
  </si>
  <si>
    <t>NATIONAL BANK HOLDINGS CORP</t>
  </si>
  <si>
    <t>0001104659-26-020063</t>
  </si>
  <si>
    <t>BRIDGEWATER BANCSHARES INC</t>
  </si>
  <si>
    <t>0001104659-26-020393</t>
  </si>
  <si>
    <t>OLD SECOND BANCORP INC</t>
  </si>
  <si>
    <t>0001104659-26-020439</t>
  </si>
  <si>
    <t>INTERNATIONAL BANCSHARES CORP</t>
  </si>
  <si>
    <t>0001104659-26-021479</t>
  </si>
  <si>
    <t>SIERRA BANCORP</t>
  </si>
  <si>
    <t>0001104659-26-021531</t>
  </si>
  <si>
    <t>QCR HOLDINGS INC</t>
  </si>
  <si>
    <t>0001104659-26-021544</t>
  </si>
  <si>
    <t>FIRST HAWAIIAN, INC.</t>
  </si>
  <si>
    <t>0001104659-26-021549</t>
  </si>
  <si>
    <t>MERCHANTS BANCORP</t>
  </si>
  <si>
    <t>0001104659-26-021567</t>
  </si>
  <si>
    <t>BANK FIRST CORP</t>
  </si>
  <si>
    <t>0001104659-26-021651</t>
  </si>
  <si>
    <t>COMMUNITY FINANCIAL SYSTEM, INC.</t>
  </si>
  <si>
    <t>0001128361-26-000011</t>
  </si>
  <si>
    <t>HOPE BANCORP INC</t>
  </si>
  <si>
    <t>0001140361-26-007058</t>
  </si>
  <si>
    <t>COMMUNITY TRUST BANCORP INC /KY/</t>
  </si>
  <si>
    <t>0001140361-26-007179</t>
  </si>
  <si>
    <t>NBT BANCORP INC</t>
  </si>
  <si>
    <t>0001166928-26-000010</t>
  </si>
  <si>
    <t>WEST BANCORPORATION INC</t>
  </si>
  <si>
    <t>0001171843-26-001150</t>
  </si>
  <si>
    <t>SERVISFIRST BANCSHARES, INC.</t>
  </si>
  <si>
    <t>0001171843-26-001195</t>
  </si>
  <si>
    <t>WESTAMERICA BANCORPORATION</t>
  </si>
  <si>
    <t>0001174850-26-000077</t>
  </si>
  <si>
    <t>NICOLET BANKSHARES INC</t>
  </si>
  <si>
    <t>0001193125-26-064009</t>
  </si>
  <si>
    <t>TRUSTMARK CORP</t>
  </si>
  <si>
    <t>0001193125-26-071523</t>
  </si>
  <si>
    <t>FIRST BUSINESS FINANCIAL SERVICES, INC.</t>
  </si>
  <si>
    <t>0001193125-26-071549</t>
  </si>
  <si>
    <t>FIRST FINANCIAL BANKSHARES INC</t>
  </si>
  <si>
    <t>0001193125-26-075954</t>
  </si>
  <si>
    <t>BANCFIRST CORP /OK/</t>
  </si>
  <si>
    <t>0001193125-26-076496</t>
  </si>
  <si>
    <t>UMB FINANCIAL CORP</t>
  </si>
  <si>
    <t>0001193125-26-077437</t>
  </si>
  <si>
    <t>PROSPERITY BANCSHARES INC</t>
  </si>
  <si>
    <t>0001193125-26-077903</t>
  </si>
  <si>
    <t>HANCOCK WHITNEY CORP</t>
  </si>
  <si>
    <t>0001193125-26-080847</t>
  </si>
  <si>
    <t>FIRST MID BANCSHARES, INC.</t>
  </si>
  <si>
    <t>0001193125-26-081470</t>
  </si>
  <si>
    <t>UNITED BANKSHARES INC/WV</t>
  </si>
  <si>
    <t>0001193125-26-082425</t>
  </si>
  <si>
    <t>HANMI FINANCIAL CORP</t>
  </si>
  <si>
    <t>0001193125-26-082893</t>
  </si>
  <si>
    <t>WILSON BANK HOLDING CO</t>
  </si>
  <si>
    <t>0001193125-26-083194</t>
  </si>
  <si>
    <t>BYLINE BANCORP, INC.</t>
  </si>
  <si>
    <t>0001193125-26-083221</t>
  </si>
  <si>
    <t>CVB FINANCIAL CORP</t>
  </si>
  <si>
    <t>0001193125-26-085463</t>
  </si>
  <si>
    <t>WESBANCO INC</t>
  </si>
  <si>
    <t>0001206774-26-000084</t>
  </si>
  <si>
    <t>SOUTHERN FIRST BANCSHARES INC</t>
  </si>
  <si>
    <t>0001281761-26-000019</t>
  </si>
  <si>
    <t>REGIONS FINANCIAL CORP</t>
  </si>
  <si>
    <t>0001295401-26-000002</t>
  </si>
  <si>
    <t>BANCORP, INC.</t>
  </si>
  <si>
    <t>0001331520-26-000051</t>
  </si>
  <si>
    <t>HOME BANCSHARES INC</t>
  </si>
  <si>
    <t>0001390777-26-000033</t>
  </si>
  <si>
    <t>BANK OF NEW YORK MELLON CORP</t>
  </si>
  <si>
    <t>0001437749-26-005320</t>
  </si>
  <si>
    <t>CONNECTONE BANCORP, INC.</t>
  </si>
  <si>
    <t>0001437749-26-005830</t>
  </si>
  <si>
    <t>STOCK YARDS BANCORP, INC.</t>
  </si>
  <si>
    <t>0001437749-26-005997</t>
  </si>
  <si>
    <t>MERCANTILE BANK CORP</t>
  </si>
  <si>
    <t>0001437958-26-000013</t>
  </si>
  <si>
    <t>COASTAL FINANCIAL CORP</t>
  </si>
  <si>
    <t>0001462120-26-000020</t>
  </si>
  <si>
    <t>LIVE OAK BANCSHARES, INC.</t>
  </si>
  <si>
    <t>0001471265-26-000008</t>
  </si>
  <si>
    <t>NORTHWEST BANCSHARES, INC.</t>
  </si>
  <si>
    <t>0001473844-26-000006</t>
  </si>
  <si>
    <t>STELLAR BANCORP, INC.</t>
  </si>
  <si>
    <t>0001488813-26-000029</t>
  </si>
  <si>
    <t>CUSTOMERS BANCORP, INC.</t>
  </si>
  <si>
    <t>0001493152-26-008143</t>
  </si>
  <si>
    <t>OPTIMUMBANK HOLDINGS, INC.</t>
  </si>
  <si>
    <t>0001516912-26-000011</t>
  </si>
  <si>
    <t>ORIGIN BANCORP, INC.</t>
  </si>
  <si>
    <t>0001539638-26-000007</t>
  </si>
  <si>
    <t>TRIUMPH FINANCIAL, INC.</t>
  </si>
  <si>
    <t>0001624322-26-000018</t>
  </si>
  <si>
    <t>BUSINESS FIRST BANCSHARES, INC.</t>
  </si>
  <si>
    <t>0001628280-26-008131</t>
  </si>
  <si>
    <t>JPMORGAN CHASE &amp; CO</t>
  </si>
  <si>
    <t>0001628280-26-010336</t>
  </si>
  <si>
    <t>WESTERN ALLIANCE BANCORPORATION</t>
  </si>
  <si>
    <t>0001628280-26-010546</t>
  </si>
  <si>
    <t>KEYCORP /NEW/</t>
  </si>
  <si>
    <t>0001628280-26-011618</t>
  </si>
  <si>
    <t>SIMMONS FIRST NATIONAL CORP</t>
  </si>
  <si>
    <t>0001628280-26-012724</t>
  </si>
  <si>
    <t>FIVE STAR BANCORP</t>
  </si>
  <si>
    <t>0001628280-26-012787</t>
  </si>
  <si>
    <t>SEACOAST BANKING CORP OF FLORIDA</t>
  </si>
  <si>
    <t>0001628280-26-012825</t>
  </si>
  <si>
    <t>FIRST WESTERN FINANCIAL INC</t>
  </si>
  <si>
    <t>0001628280-26-012946</t>
  </si>
  <si>
    <t>BANC OF CALIFORNIA, INC.</t>
  </si>
  <si>
    <t>0001649749-26-000012</t>
  </si>
  <si>
    <t>FB FINANCIAL CORP</t>
  </si>
  <si>
    <t>0001734342-26-000017</t>
  </si>
  <si>
    <t>AMERANT BANCORP INC.</t>
  </si>
  <si>
    <t>0001964333-26-000016</t>
  </si>
  <si>
    <t>BURKE &amp; HERBERT FINANCIAL SERVICES CORP.</t>
  </si>
  <si>
    <t>tag</t>
  </si>
  <si>
    <t>version</t>
  </si>
  <si>
    <t>ddate</t>
  </si>
  <si>
    <t>qtrs</t>
  </si>
  <si>
    <t>uom</t>
  </si>
  <si>
    <t>segments</t>
  </si>
  <si>
    <t>coreg</t>
  </si>
  <si>
    <t>value</t>
  </si>
  <si>
    <t>Liabilities</t>
  </si>
  <si>
    <t>us-gaap/2025</t>
  </si>
  <si>
    <t>USD</t>
  </si>
  <si>
    <t/>
  </si>
  <si>
    <t>Assets</t>
  </si>
  <si>
    <t>InterestAndDividendIncomeOperating</t>
  </si>
  <si>
    <t>EarningsPerShareBasic</t>
  </si>
  <si>
    <t>NetIncomeLoss</t>
  </si>
  <si>
    <t>StockholdersEquity</t>
  </si>
  <si>
    <t>InterestIncomeOperating</t>
  </si>
  <si>
    <t>us-gaap/2024</t>
  </si>
  <si>
    <t>Row Labels</t>
  </si>
  <si>
    <t>Grand Total</t>
  </si>
  <si>
    <t>Sum of value</t>
  </si>
  <si>
    <t>Column Labels</t>
  </si>
  <si>
    <t>Number</t>
  </si>
  <si>
    <t>SIC</t>
  </si>
  <si>
    <t>Name</t>
  </si>
  <si>
    <t>CIK</t>
  </si>
  <si>
    <t>EPS</t>
  </si>
  <si>
    <t>Interest</t>
  </si>
  <si>
    <t>Net Worth</t>
  </si>
  <si>
    <t>Total Assets</t>
  </si>
  <si>
    <t>Total Liabilities</t>
  </si>
  <si>
    <t>Total Net Worth</t>
  </si>
  <si>
    <t>Avg EPS</t>
  </si>
  <si>
    <t>National Commerical Banks</t>
  </si>
  <si>
    <t>State Commercial Banks</t>
  </si>
  <si>
    <t>Leverage Ratio</t>
  </si>
  <si>
    <t>ROA</t>
  </si>
  <si>
    <t>Q1 Breakpoint</t>
  </si>
  <si>
    <t>Q3 Breakpoint</t>
  </si>
  <si>
    <t>Size Tier</t>
  </si>
  <si>
    <t>Small</t>
  </si>
  <si>
    <t>Avg Leverage Ratio</t>
  </si>
  <si>
    <t>Avg ROA</t>
  </si>
  <si>
    <t>Number of Banks</t>
  </si>
  <si>
    <t>Number of Banks over 10x Leveraged</t>
  </si>
  <si>
    <t>"Size Tier Filter:"</t>
  </si>
  <si>
    <t>Rank</t>
  </si>
  <si>
    <t>Net Income Loss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</si>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</sst>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9" fontId="2" fillId="3" borderId="0" xfId="1" applyFont="1" applyFill="1" applyBorder="1"/>
    <xf numFmtId="0" fontId="2" fillId="3" borderId="4" xfId="0" applyFont="1" applyFill="1" applyBorder="1" applyAlignment="1">
      <alignment horizontal="center"/>
    </xf>
    <xf numFmtId="0" fontId="0" fillId="2" borderId="0" xfId="0" applyFill="1"/>
    <xf numFmtId="0" fontId="2" fillId="3" borderId="4" xfId="0" applyFont="1" applyFill="1" applyBorder="1"/>
    <xf numFmtId="0" fontId="0" fillId="3" borderId="0" xfId="0" applyFill="1" applyBorder="1"/>
    <xf numFmtId="0" fontId="0" fillId="3" borderId="5" xfId="0" applyFill="1" applyBorder="1"/>
  </cellXfs>
  <cellStyles count="2">
    <cellStyle name="Normal" xfId="0" builtinId="0"/>
    <cellStyle name="Percent" xfId="1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Ratio vs 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dashboard_data_raw!$M$2:$M$261</c:f>
              <c:numCache>
                <c:formatCode>General</c:formatCode>
                <c:ptCount val="260"/>
                <c:pt idx="0">
                  <c:v>10.946831798723931</c:v>
                </c:pt>
                <c:pt idx="1">
                  <c:v>9.352127348888704</c:v>
                </c:pt>
                <c:pt idx="2">
                  <c:v>19.998899386624455</c:v>
                </c:pt>
                <c:pt idx="3">
                  <c:v>9.9366913173015536</c:v>
                </c:pt>
                <c:pt idx="4">
                  <c:v>8.8437550413370438</c:v>
                </c:pt>
                <c:pt idx="5">
                  <c:v>10.294874169854488</c:v>
                </c:pt>
                <c:pt idx="6">
                  <c:v>12.776720192647881</c:v>
                </c:pt>
                <c:pt idx="7">
                  <c:v>8.4778944757165728</c:v>
                </c:pt>
                <c:pt idx="8">
                  <c:v>9.6275370444900794</c:v>
                </c:pt>
                <c:pt idx="9">
                  <c:v>13.541278966920219</c:v>
                </c:pt>
                <c:pt idx="10">
                  <c:v>10.012926418187718</c:v>
                </c:pt>
                <c:pt idx="11">
                  <c:v>11.182699201463571</c:v>
                </c:pt>
                <c:pt idx="12">
                  <c:v>8.2394906238525554</c:v>
                </c:pt>
                <c:pt idx="13">
                  <c:v>9.5483413715016674</c:v>
                </c:pt>
                <c:pt idx="14">
                  <c:v>7.5349618823228814</c:v>
                </c:pt>
                <c:pt idx="15">
                  <c:v>10.001249741843582</c:v>
                </c:pt>
                <c:pt idx="16">
                  <c:v>10.875629200649719</c:v>
                </c:pt>
                <c:pt idx="17">
                  <c:v>10.576742195886963</c:v>
                </c:pt>
                <c:pt idx="18">
                  <c:v>8.5832925866024752</c:v>
                </c:pt>
                <c:pt idx="19">
                  <c:v>10.013511895175444</c:v>
                </c:pt>
                <c:pt idx="20">
                  <c:v>9.2790247886691475</c:v>
                </c:pt>
                <c:pt idx="21">
                  <c:v>9.1768040531288513</c:v>
                </c:pt>
                <c:pt idx="22">
                  <c:v>6.3885564001585786</c:v>
                </c:pt>
                <c:pt idx="23">
                  <c:v>9.166931995762539</c:v>
                </c:pt>
                <c:pt idx="24">
                  <c:v>12.279108725590593</c:v>
                </c:pt>
                <c:pt idx="25">
                  <c:v>8.8010960092811796</c:v>
                </c:pt>
                <c:pt idx="26">
                  <c:v>#N/A</c:v>
                </c:pt>
                <c:pt idx="27">
                  <c:v>8.7953622350204022</c:v>
                </c:pt>
                <c:pt idx="28">
                  <c:v>8.7809349565950647</c:v>
                </c:pt>
                <c:pt idx="29">
                  <c:v>11.899653460897007</c:v>
                </c:pt>
                <c:pt idx="30">
                  <c:v>10.13871004353204</c:v>
                </c:pt>
                <c:pt idx="31">
                  <c:v>9.3520171329704187</c:v>
                </c:pt>
                <c:pt idx="32">
                  <c:v>13.044320157968501</c:v>
                </c:pt>
                <c:pt idx="33">
                  <c:v>10.610124570267878</c:v>
                </c:pt>
                <c:pt idx="34">
                  <c:v>9.5706462108887287</c:v>
                </c:pt>
                <c:pt idx="35">
                  <c:v>7.2230323740649869</c:v>
                </c:pt>
                <c:pt idx="36">
                  <c:v>12.15975324399064</c:v>
                </c:pt>
                <c:pt idx="37">
                  <c:v>12.184968821241787</c:v>
                </c:pt>
                <c:pt idx="38">
                  <c:v>15.604256357520088</c:v>
                </c:pt>
                <c:pt idx="39">
                  <c:v>9.5299074837409545</c:v>
                </c:pt>
                <c:pt idx="40">
                  <c:v>8.9367567993241845</c:v>
                </c:pt>
                <c:pt idx="41">
                  <c:v>9.0728317238279033</c:v>
                </c:pt>
                <c:pt idx="42">
                  <c:v>9.0653895418146959</c:v>
                </c:pt>
                <c:pt idx="43">
                  <c:v>9.2956765360601921</c:v>
                </c:pt>
                <c:pt idx="44">
                  <c:v>8.8148514207282886</c:v>
                </c:pt>
                <c:pt idx="45">
                  <c:v>9.3807212174969301</c:v>
                </c:pt>
                <c:pt idx="46">
                  <c:v>7.8234227773461624</c:v>
                </c:pt>
                <c:pt idx="47">
                  <c:v>8.6900919804093668</c:v>
                </c:pt>
                <c:pt idx="48">
                  <c:v>14.018447228879754</c:v>
                </c:pt>
                <c:pt idx="49">
                  <c:v>12.057499513128255</c:v>
                </c:pt>
                <c:pt idx="50">
                  <c:v>18.433099134079072</c:v>
                </c:pt>
                <c:pt idx="51">
                  <c:v>8.70587688886339</c:v>
                </c:pt>
                <c:pt idx="52">
                  <c:v>7.9791360764268395</c:v>
                </c:pt>
                <c:pt idx="53">
                  <c:v>10.818852525977601</c:v>
                </c:pt>
                <c:pt idx="54">
                  <c:v>9.9771012031409523</c:v>
                </c:pt>
                <c:pt idx="55">
                  <c:v>12.898626488708464</c:v>
                </c:pt>
                <c:pt idx="56">
                  <c:v>#N/A</c:v>
                </c:pt>
                <c:pt idx="57">
                  <c:v>11.480599264745752</c:v>
                </c:pt>
                <c:pt idx="58">
                  <c:v>8.8875848171109979</c:v>
                </c:pt>
                <c:pt idx="59">
                  <c:v>#N/A</c:v>
                </c:pt>
                <c:pt idx="60">
                  <c:v>#N/A</c:v>
                </c:pt>
                <c:pt idx="61">
                  <c:v>9.4778608926986614</c:v>
                </c:pt>
                <c:pt idx="62">
                  <c:v>8.4412475250450658</c:v>
                </c:pt>
                <c:pt idx="63">
                  <c:v>14.711028611563487</c:v>
                </c:pt>
                <c:pt idx="64">
                  <c:v>10.237060500475135</c:v>
                </c:pt>
                <c:pt idx="65">
                  <c:v>#N/A</c:v>
                </c:pt>
                <c:pt idx="66">
                  <c:v>9.8671014774915093</c:v>
                </c:pt>
                <c:pt idx="67">
                  <c:v>8.9581507485298193</c:v>
                </c:pt>
                <c:pt idx="68">
                  <c:v>8.201809900153842</c:v>
                </c:pt>
                <c:pt idx="69">
                  <c:v>11.650668430637561</c:v>
                </c:pt>
                <c:pt idx="70">
                  <c:v>10.941735818063384</c:v>
                </c:pt>
                <c:pt idx="71">
                  <c:v>8.0305046895143679</c:v>
                </c:pt>
                <c:pt idx="72">
                  <c:v>12.980011992804318</c:v>
                </c:pt>
                <c:pt idx="73">
                  <c:v>9.9078893786231017</c:v>
                </c:pt>
                <c:pt idx="74">
                  <c:v>12.341487974525606</c:v>
                </c:pt>
                <c:pt idx="75">
                  <c:v>9.8941807253949037</c:v>
                </c:pt>
                <c:pt idx="76">
                  <c:v>8.9760900245670889</c:v>
                </c:pt>
                <c:pt idx="77">
                  <c:v>8.4142364867983162</c:v>
                </c:pt>
                <c:pt idx="78">
                  <c:v>8.2825167123130328</c:v>
                </c:pt>
                <c:pt idx="79">
                  <c:v>9.2578672906923636</c:v>
                </c:pt>
                <c:pt idx="80">
                  <c:v>10.800082351124608</c:v>
                </c:pt>
                <c:pt idx="81">
                  <c:v>6.5121616951055543</c:v>
                </c:pt>
                <c:pt idx="82">
                  <c:v>10.981299592313388</c:v>
                </c:pt>
                <c:pt idx="83">
                  <c:v>#N/A</c:v>
                </c:pt>
                <c:pt idx="84">
                  <c:v>6.931621666594765</c:v>
                </c:pt>
                <c:pt idx="85">
                  <c:v>8.1801087143018805</c:v>
                </c:pt>
                <c:pt idx="86">
                  <c:v>10.26263384224653</c:v>
                </c:pt>
                <c:pt idx="87">
                  <c:v>10.12241583596763</c:v>
                </c:pt>
                <c:pt idx="88">
                  <c:v>11.504889893661559</c:v>
                </c:pt>
                <c:pt idx="89">
                  <c:v>9.4098374812753054</c:v>
                </c:pt>
                <c:pt idx="90">
                  <c:v>9.1453204687894818</c:v>
                </c:pt>
                <c:pt idx="91">
                  <c:v>12.012399687917966</c:v>
                </c:pt>
                <c:pt idx="92">
                  <c:v>8.0720560724352097</c:v>
                </c:pt>
                <c:pt idx="93">
                  <c:v>10.945337171582633</c:v>
                </c:pt>
                <c:pt idx="94">
                  <c:v>9.7276884240894343</c:v>
                </c:pt>
                <c:pt idx="95">
                  <c:v>10.654287620672472</c:v>
                </c:pt>
                <c:pt idx="96">
                  <c:v>14.113885949441505</c:v>
                </c:pt>
                <c:pt idx="97">
                  <c:v>11.518004452704602</c:v>
                </c:pt>
                <c:pt idx="98">
                  <c:v>10.11415912937105</c:v>
                </c:pt>
                <c:pt idx="99">
                  <c:v>11.14421753364136</c:v>
                </c:pt>
                <c:pt idx="100">
                  <c:v>7.8087165378400805</c:v>
                </c:pt>
                <c:pt idx="101">
                  <c:v>12.280788030341913</c:v>
                </c:pt>
                <c:pt idx="102">
                  <c:v>#N/A</c:v>
                </c:pt>
                <c:pt idx="103">
                  <c:v>12.853400128002653</c:v>
                </c:pt>
                <c:pt idx="104">
                  <c:v>9.8243142880720082</c:v>
                </c:pt>
                <c:pt idx="105">
                  <c:v>8.135723418848773</c:v>
                </c:pt>
                <c:pt idx="106">
                  <c:v>#N/A</c:v>
                </c:pt>
                <c:pt idx="107">
                  <c:v>9.0098269480551192</c:v>
                </c:pt>
                <c:pt idx="108">
                  <c:v>7.6864901160548031</c:v>
                </c:pt>
                <c:pt idx="109">
                  <c:v>9.3692765432307468</c:v>
                </c:pt>
                <c:pt idx="110">
                  <c:v>10.640515254663164</c:v>
                </c:pt>
                <c:pt idx="111">
                  <c:v>10.343986195403589</c:v>
                </c:pt>
                <c:pt idx="112">
                  <c:v>10.466312436934555</c:v>
                </c:pt>
                <c:pt idx="113">
                  <c:v>5.4841712832821132</c:v>
                </c:pt>
                <c:pt idx="114">
                  <c:v>14.848382418435747</c:v>
                </c:pt>
                <c:pt idx="115">
                  <c:v>10.833564582033885</c:v>
                </c:pt>
                <c:pt idx="116">
                  <c:v>11.32547428606995</c:v>
                </c:pt>
                <c:pt idx="117">
                  <c:v>13.109869450700462</c:v>
                </c:pt>
                <c:pt idx="118">
                  <c:v>9.0388643533123023</c:v>
                </c:pt>
                <c:pt idx="119">
                  <c:v>7.3569322915040978</c:v>
                </c:pt>
                <c:pt idx="120">
                  <c:v>11.629255834975186</c:v>
                </c:pt>
                <c:pt idx="121">
                  <c:v>7.6610437330529253</c:v>
                </c:pt>
                <c:pt idx="122">
                  <c:v>8.7624773973508958</c:v>
                </c:pt>
                <c:pt idx="123">
                  <c:v>12.828191031264396</c:v>
                </c:pt>
                <c:pt idx="124">
                  <c:v>6.9952895144869975</c:v>
                </c:pt>
                <c:pt idx="125">
                  <c:v>#N/A</c:v>
                </c:pt>
                <c:pt idx="126">
                  <c:v>11.560535338589506</c:v>
                </c:pt>
                <c:pt idx="127">
                  <c:v>5.0577654701208621</c:v>
                </c:pt>
                <c:pt idx="128">
                  <c:v>8.1925593241634562</c:v>
                </c:pt>
                <c:pt idx="129">
                  <c:v>11.489649345162654</c:v>
                </c:pt>
                <c:pt idx="130">
                  <c:v>10.979421881600386</c:v>
                </c:pt>
                <c:pt idx="131">
                  <c:v>9.0853152553982675</c:v>
                </c:pt>
                <c:pt idx="132">
                  <c:v>8.6815795658087804</c:v>
                </c:pt>
                <c:pt idx="133">
                  <c:v>7.1023340923048446</c:v>
                </c:pt>
                <c:pt idx="134">
                  <c:v>9.8681642423126501</c:v>
                </c:pt>
                <c:pt idx="135">
                  <c:v>10.619928519933122</c:v>
                </c:pt>
                <c:pt idx="136">
                  <c:v>7.3177502827569665</c:v>
                </c:pt>
                <c:pt idx="137">
                  <c:v>9.4807279303718772</c:v>
                </c:pt>
                <c:pt idx="138">
                  <c:v>7.4314247669773632</c:v>
                </c:pt>
                <c:pt idx="139">
                  <c:v>11.598733095475303</c:v>
                </c:pt>
                <c:pt idx="140">
                  <c:v>12.646922183507549</c:v>
                </c:pt>
                <c:pt idx="141">
                  <c:v>13.059748964462202</c:v>
                </c:pt>
                <c:pt idx="142">
                  <c:v>9.2476378276230378</c:v>
                </c:pt>
                <c:pt idx="143">
                  <c:v>11.25083843650142</c:v>
                </c:pt>
                <c:pt idx="144">
                  <c:v>11.863221011832131</c:v>
                </c:pt>
                <c:pt idx="145">
                  <c:v>13.669861628813312</c:v>
                </c:pt>
                <c:pt idx="146">
                  <c:v>13.860438942037142</c:v>
                </c:pt>
                <c:pt idx="147">
                  <c:v>8.3992391354369609</c:v>
                </c:pt>
                <c:pt idx="148">
                  <c:v>13.147767680758593</c:v>
                </c:pt>
                <c:pt idx="149">
                  <c:v>8.9438524442446763</c:v>
                </c:pt>
                <c:pt idx="150">
                  <c:v>12.394150417827298</c:v>
                </c:pt>
                <c:pt idx="151">
                  <c:v>7.3328748447740812</c:v>
                </c:pt>
                <c:pt idx="152">
                  <c:v>7.9973595270022759</c:v>
                </c:pt>
                <c:pt idx="153">
                  <c:v>6.7506599562122735</c:v>
                </c:pt>
                <c:pt idx="154">
                  <c:v>7.3961262077362893</c:v>
                </c:pt>
                <c:pt idx="155">
                  <c:v>9.20180137386415</c:v>
                </c:pt>
                <c:pt idx="156">
                  <c:v>12.503338784064963</c:v>
                </c:pt>
                <c:pt idx="157">
                  <c:v>10.045350778360458</c:v>
                </c:pt>
                <c:pt idx="158">
                  <c:v>8.4936748274353633</c:v>
                </c:pt>
                <c:pt idx="159">
                  <c:v>7.6300942216136267</c:v>
                </c:pt>
                <c:pt idx="160">
                  <c:v>7.7128777415030081</c:v>
                </c:pt>
                <c:pt idx="161">
                  <c:v>7.9408302753001845</c:v>
                </c:pt>
                <c:pt idx="162">
                  <c:v>9.4672278616819341</c:v>
                </c:pt>
                <c:pt idx="163">
                  <c:v>8.2140376074996748</c:v>
                </c:pt>
                <c:pt idx="164">
                  <c:v>7.2172413051427098</c:v>
                </c:pt>
                <c:pt idx="165">
                  <c:v>6.8859923215625605</c:v>
                </c:pt>
                <c:pt idx="166">
                  <c:v>6.7430392034303432</c:v>
                </c:pt>
                <c:pt idx="167">
                  <c:v>9.1684083089914381</c:v>
                </c:pt>
                <c:pt idx="168">
                  <c:v>7.9329964131384409</c:v>
                </c:pt>
                <c:pt idx="169">
                  <c:v>8.3020674834502515</c:v>
                </c:pt>
                <c:pt idx="170">
                  <c:v>12.181546918231589</c:v>
                </c:pt>
                <c:pt idx="171">
                  <c:v>8.6009423566515935</c:v>
                </c:pt>
                <c:pt idx="172">
                  <c:v>6.9867628714248537</c:v>
                </c:pt>
                <c:pt idx="173">
                  <c:v>10.329076355787391</c:v>
                </c:pt>
                <c:pt idx="174">
                  <c:v>8.8570978429107754</c:v>
                </c:pt>
                <c:pt idx="175">
                  <c:v>#N/A</c:v>
                </c:pt>
                <c:pt idx="176">
                  <c:v>7.6584355398000685</c:v>
                </c:pt>
                <c:pt idx="177">
                  <c:v>10.321426477137523</c:v>
                </c:pt>
                <c:pt idx="178">
                  <c:v>7.7829927936185088</c:v>
                </c:pt>
                <c:pt idx="179">
                  <c:v>12.516790631727204</c:v>
                </c:pt>
                <c:pt idx="180">
                  <c:v>10.395685910193261</c:v>
                </c:pt>
                <c:pt idx="181">
                  <c:v>7.6957874353544113</c:v>
                </c:pt>
                <c:pt idx="182">
                  <c:v>7.7286335944299394</c:v>
                </c:pt>
                <c:pt idx="183">
                  <c:v>7.5888517808421385</c:v>
                </c:pt>
                <c:pt idx="184">
                  <c:v>8.8259208271621592</c:v>
                </c:pt>
                <c:pt idx="185">
                  <c:v>7.507544146510126</c:v>
                </c:pt>
                <c:pt idx="186">
                  <c:v>8.5244897959183668</c:v>
                </c:pt>
                <c:pt idx="187">
                  <c:v>5.8883343895226021</c:v>
                </c:pt>
                <c:pt idx="188">
                  <c:v>8.4028737648981622</c:v>
                </c:pt>
                <c:pt idx="189">
                  <c:v>8.7602279630687807</c:v>
                </c:pt>
                <c:pt idx="190">
                  <c:v>#N/A</c:v>
                </c:pt>
                <c:pt idx="191">
                  <c:v>9.8009146246959684</c:v>
                </c:pt>
                <c:pt idx="192">
                  <c:v>8.483378820880402</c:v>
                </c:pt>
                <c:pt idx="193">
                  <c:v>8.9680663019197766</c:v>
                </c:pt>
                <c:pt idx="194">
                  <c:v>10.610450046026857</c:v>
                </c:pt>
                <c:pt idx="195">
                  <c:v>9.7276081479918552</c:v>
                </c:pt>
                <c:pt idx="196">
                  <c:v>9.0384505262381953</c:v>
                </c:pt>
                <c:pt idx="197">
                  <c:v>8.6854740151270224</c:v>
                </c:pt>
                <c:pt idx="198">
                  <c:v>7.3072250012797451</c:v>
                </c:pt>
                <c:pt idx="199">
                  <c:v>7.4176631959791184</c:v>
                </c:pt>
                <c:pt idx="200">
                  <c:v>11.109652380798588</c:v>
                </c:pt>
                <c:pt idx="201">
                  <c:v>7.135526750866716</c:v>
                </c:pt>
                <c:pt idx="202">
                  <c:v>10.456496388477939</c:v>
                </c:pt>
                <c:pt idx="203">
                  <c:v>7.697280679060805</c:v>
                </c:pt>
                <c:pt idx="204">
                  <c:v>5.0978414571363722</c:v>
                </c:pt>
                <c:pt idx="205">
                  <c:v>10.495114604659831</c:v>
                </c:pt>
                <c:pt idx="206">
                  <c:v>8.608626544194923</c:v>
                </c:pt>
                <c:pt idx="207">
                  <c:v>8.6500883776605821</c:v>
                </c:pt>
                <c:pt idx="208">
                  <c:v>8.5273994315050388</c:v>
                </c:pt>
                <c:pt idx="209">
                  <c:v>6.998824234743009</c:v>
                </c:pt>
                <c:pt idx="210">
                  <c:v>8.625624490910921</c:v>
                </c:pt>
                <c:pt idx="211">
                  <c:v>8.1162728159813042</c:v>
                </c:pt>
                <c:pt idx="212">
                  <c:v>7.8079156893345418</c:v>
                </c:pt>
                <c:pt idx="213">
                  <c:v>8.435284271412117</c:v>
                </c:pt>
                <c:pt idx="214">
                  <c:v>15.573224053988007</c:v>
                </c:pt>
                <c:pt idx="215">
                  <c:v>9.5830574096127954</c:v>
                </c:pt>
                <c:pt idx="216">
                  <c:v>6.38470545008136</c:v>
                </c:pt>
                <c:pt idx="217">
                  <c:v>7.3033191747862301</c:v>
                </c:pt>
                <c:pt idx="218">
                  <c:v>8.91993031927103</c:v>
                </c:pt>
                <c:pt idx="219">
                  <c:v>10.985069365017425</c:v>
                </c:pt>
                <c:pt idx="220">
                  <c:v>8.0562974197798276</c:v>
                </c:pt>
                <c:pt idx="221">
                  <c:v>8.0031783186139016</c:v>
                </c:pt>
                <c:pt idx="222">
                  <c:v>9.5006751093900768</c:v>
                </c:pt>
                <c:pt idx="223">
                  <c:v>5.0502518336059996</c:v>
                </c:pt>
                <c:pt idx="224">
                  <c:v>7.9533254396689594</c:v>
                </c:pt>
                <c:pt idx="225">
                  <c:v>8.3099243552673858</c:v>
                </c:pt>
                <c:pt idx="226">
                  <c:v>6.1245242206899109</c:v>
                </c:pt>
                <c:pt idx="227">
                  <c:v>9.8811192060131638</c:v>
                </c:pt>
                <c:pt idx="228">
                  <c:v>#N/A</c:v>
                </c:pt>
                <c:pt idx="229">
                  <c:v>7.6130848816868131</c:v>
                </c:pt>
                <c:pt idx="230">
                  <c:v>6.8102520712575334</c:v>
                </c:pt>
                <c:pt idx="231">
                  <c:v>6.8692784293708717</c:v>
                </c:pt>
                <c:pt idx="232">
                  <c:v>11.944691135662689</c:v>
                </c:pt>
                <c:pt idx="233">
                  <c:v>8.3397573911673586</c:v>
                </c:pt>
                <c:pt idx="234">
                  <c:v>13.55824765582868</c:v>
                </c:pt>
                <c:pt idx="235">
                  <c:v>5.3252422518618783</c:v>
                </c:pt>
                <c:pt idx="236">
                  <c:v>10.658271838963735</c:v>
                </c:pt>
                <c:pt idx="237">
                  <c:v>8.8999834746462945</c:v>
                </c:pt>
                <c:pt idx="238">
                  <c:v>8.8650651624016792</c:v>
                </c:pt>
                <c:pt idx="239">
                  <c:v>9.4293969793787689</c:v>
                </c:pt>
                <c:pt idx="240">
                  <c:v>9.6575009318497056</c:v>
                </c:pt>
                <c:pt idx="241">
                  <c:v>12.109101121078385</c:v>
                </c:pt>
                <c:pt idx="242">
                  <c:v>8.8692362136748155</c:v>
                </c:pt>
                <c:pt idx="243">
                  <c:v>6.4762341384133562</c:v>
                </c:pt>
                <c:pt idx="244">
                  <c:v>11.768219305257297</c:v>
                </c:pt>
                <c:pt idx="245">
                  <c:v>9.1198142694241859</c:v>
                </c:pt>
                <c:pt idx="246">
                  <c:v>7.800464431672796</c:v>
                </c:pt>
                <c:pt idx="247">
                  <c:v>6.7750950071726566</c:v>
                </c:pt>
                <c:pt idx="248">
                  <c:v>9.1592102871835017</c:v>
                </c:pt>
                <c:pt idx="249">
                  <c:v>12.208708799849905</c:v>
                </c:pt>
                <c:pt idx="250">
                  <c:v>12.122566313863844</c:v>
                </c:pt>
                <c:pt idx="251">
                  <c:v>9.0467101712379172</c:v>
                </c:pt>
                <c:pt idx="252">
                  <c:v>7.177289982569226</c:v>
                </c:pt>
                <c:pt idx="253">
                  <c:v>10.665140680794559</c:v>
                </c:pt>
                <c:pt idx="254">
                  <c:v>7.6833497870357608</c:v>
                </c:pt>
                <c:pt idx="255">
                  <c:v>11.880482753426721</c:v>
                </c:pt>
                <c:pt idx="256">
                  <c:v>9.826241211856626</c:v>
                </c:pt>
                <c:pt idx="257">
                  <c:v>8.3669976619023547</c:v>
                </c:pt>
                <c:pt idx="258">
                  <c:v>10.414355742744476</c:v>
                </c:pt>
                <c:pt idx="259">
                  <c:v>9.2676946910369047</c:v>
                </c:pt>
              </c:numCache>
            </c:numRef>
          </c:xVal>
          <c:yVal>
            <c:numRef>
              <c:f>dashboard_data_raw!$N$2:$N$261</c:f>
              <c:numCache>
                <c:formatCode>0%</c:formatCode>
                <c:ptCount val="260"/>
                <c:pt idx="0">
                  <c:v>1.2449052984895709E-2</c:v>
                </c:pt>
                <c:pt idx="1">
                  <c:v>-2.3379073242114523E-2</c:v>
                </c:pt>
                <c:pt idx="2">
                  <c:v>6.8513861380628512E-3</c:v>
                </c:pt>
                <c:pt idx="3">
                  <c:v>7.5635788500351096E-3</c:v>
                </c:pt>
                <c:pt idx="4">
                  <c:v>1.3760643877496774E-2</c:v>
                </c:pt>
                <c:pt idx="5">
                  <c:v>9.8862717736178038E-3</c:v>
                </c:pt>
                <c:pt idx="6">
                  <c:v>9.4800488428409234E-3</c:v>
                </c:pt>
                <c:pt idx="7">
                  <c:v>1.3017145488148335E-2</c:v>
                </c:pt>
                <c:pt idx="8">
                  <c:v>7.8760807414098959E-3</c:v>
                </c:pt>
                <c:pt idx="9">
                  <c:v>4.0183490672949362E-3</c:v>
                </c:pt>
                <c:pt idx="10">
                  <c:v>9.3424926848683729E-3</c:v>
                </c:pt>
                <c:pt idx="11">
                  <c:v>1.08625106314841E-2</c:v>
                </c:pt>
                <c:pt idx="12">
                  <c:v>1.5184791546301901E-2</c:v>
                </c:pt>
                <c:pt idx="13">
                  <c:v>8.5586988243217307E-3</c:v>
                </c:pt>
                <c:pt idx="14">
                  <c:v>9.1700283147937295E-3</c:v>
                </c:pt>
                <c:pt idx="15">
                  <c:v>4.3491935407010173E-3</c:v>
                </c:pt>
                <c:pt idx="16">
                  <c:v>1.2560888724701163E-2</c:v>
                </c:pt>
                <c:pt idx="17">
                  <c:v>9.6929955419805865E-3</c:v>
                </c:pt>
                <c:pt idx="18">
                  <c:v>1.9534141517104128E-2</c:v>
                </c:pt>
                <c:pt idx="19">
                  <c:v>1.1446106591687211E-2</c:v>
                </c:pt>
                <c:pt idx="20">
                  <c:v>-1.3151312783033728E-2</c:v>
                </c:pt>
                <c:pt idx="21">
                  <c:v>1.2761906467198462E-2</c:v>
                </c:pt>
                <c:pt idx="22">
                  <c:v>1.8647523786005264E-2</c:v>
                </c:pt>
                <c:pt idx="23">
                  <c:v>7.4787651529831583E-3</c:v>
                </c:pt>
                <c:pt idx="24">
                  <c:v>2.1717869688640751E-3</c:v>
                </c:pt>
                <c:pt idx="25">
                  <c:v>1.2676905644012099E-2</c:v>
                </c:pt>
                <c:pt idx="26">
                  <c:v>#N/A</c:v>
                </c:pt>
                <c:pt idx="27">
                  <c:v>7.8821219366548029E-3</c:v>
                </c:pt>
                <c:pt idx="28">
                  <c:v>9.1029131208334221E-3</c:v>
                </c:pt>
                <c:pt idx="29">
                  <c:v>3.1421310765491614E-3</c:v>
                </c:pt>
                <c:pt idx="30">
                  <c:v>1.1229698146958456E-2</c:v>
                </c:pt>
                <c:pt idx="31">
                  <c:v>1.5648025834622169E-2</c:v>
                </c:pt>
                <c:pt idx="32">
                  <c:v>-1.3033937868513451E-2</c:v>
                </c:pt>
                <c:pt idx="33">
                  <c:v>0</c:v>
                </c:pt>
                <c:pt idx="34">
                  <c:v>1.5180901855715341E-2</c:v>
                </c:pt>
                <c:pt idx="35">
                  <c:v>5.3787471411223167E-3</c:v>
                </c:pt>
                <c:pt idx="36">
                  <c:v>9.0419793689391157E-3</c:v>
                </c:pt>
                <c:pt idx="37">
                  <c:v>3.8601938488650191E-3</c:v>
                </c:pt>
                <c:pt idx="38">
                  <c:v>8.9169327895825025E-3</c:v>
                </c:pt>
                <c:pt idx="39">
                  <c:v>5.5108069487430872E-4</c:v>
                </c:pt>
                <c:pt idx="40">
                  <c:v>9.843685037326376E-3</c:v>
                </c:pt>
                <c:pt idx="41">
                  <c:v>1.3050106014953688E-2</c:v>
                </c:pt>
                <c:pt idx="42">
                  <c:v>1.1933834633572671E-2</c:v>
                </c:pt>
                <c:pt idx="43">
                  <c:v>9.8574925410102269E-3</c:v>
                </c:pt>
                <c:pt idx="44">
                  <c:v>1.6450472837959196E-2</c:v>
                </c:pt>
                <c:pt idx="45">
                  <c:v>9.4922912105827005E-3</c:v>
                </c:pt>
                <c:pt idx="46">
                  <c:v>2.1933246419914038E-2</c:v>
                </c:pt>
                <c:pt idx="47">
                  <c:v>1.447825393154072E-2</c:v>
                </c:pt>
                <c:pt idx="48">
                  <c:v>9.5489844432032744E-3</c:v>
                </c:pt>
                <c:pt idx="49">
                  <c:v>1.1057440776972349E-2</c:v>
                </c:pt>
                <c:pt idx="50">
                  <c:v>0</c:v>
                </c:pt>
                <c:pt idx="51">
                  <c:v>3.5658852452122741E-3</c:v>
                </c:pt>
                <c:pt idx="52">
                  <c:v>1.0656635734320193E-2</c:v>
                </c:pt>
                <c:pt idx="53">
                  <c:v>1.0194161056678213E-2</c:v>
                </c:pt>
                <c:pt idx="54">
                  <c:v>1.1932631404463401E-2</c:v>
                </c:pt>
                <c:pt idx="55">
                  <c:v>1.1117169234181368E-2</c:v>
                </c:pt>
                <c:pt idx="56">
                  <c:v>5.1888446767147135E-3</c:v>
                </c:pt>
                <c:pt idx="57">
                  <c:v>8.2845255868146585E-3</c:v>
                </c:pt>
                <c:pt idx="58">
                  <c:v>1.079170687761046E-2</c:v>
                </c:pt>
                <c:pt idx="59">
                  <c:v>1.0912333043193119E-2</c:v>
                </c:pt>
                <c:pt idx="60">
                  <c:v>0</c:v>
                </c:pt>
                <c:pt idx="61">
                  <c:v>6.3883174687244292E-3</c:v>
                </c:pt>
                <c:pt idx="62">
                  <c:v>8.1443338218504108E-3</c:v>
                </c:pt>
                <c:pt idx="63">
                  <c:v>7.3924255182961224E-3</c:v>
                </c:pt>
                <c:pt idx="64">
                  <c:v>1.0336990692608544E-2</c:v>
                </c:pt>
                <c:pt idx="65">
                  <c:v>0</c:v>
                </c:pt>
                <c:pt idx="66">
                  <c:v>8.674128777871928E-3</c:v>
                </c:pt>
                <c:pt idx="67">
                  <c:v>1.1675158903634629E-2</c:v>
                </c:pt>
                <c:pt idx="68">
                  <c:v>1.5394732293189143E-2</c:v>
                </c:pt>
                <c:pt idx="69">
                  <c:v>-1.3549356668414367E-3</c:v>
                </c:pt>
                <c:pt idx="70">
                  <c:v>9.0425122317223036E-3</c:v>
                </c:pt>
                <c:pt idx="71">
                  <c:v>1.6232567651740394E-2</c:v>
                </c:pt>
                <c:pt idx="72">
                  <c:v>8.6831488011826479E-3</c:v>
                </c:pt>
                <c:pt idx="73">
                  <c:v>0</c:v>
                </c:pt>
                <c:pt idx="74">
                  <c:v>1.1876844432261946E-2</c:v>
                </c:pt>
                <c:pt idx="75">
                  <c:v>-9.1362428286576088E-3</c:v>
                </c:pt>
                <c:pt idx="76">
                  <c:v>1.5853221958695107E-2</c:v>
                </c:pt>
                <c:pt idx="77">
                  <c:v>1.1412435541663327E-2</c:v>
                </c:pt>
                <c:pt idx="78">
                  <c:v>1.3005758458412911E-2</c:v>
                </c:pt>
                <c:pt idx="79">
                  <c:v>3.3343632721768903E-3</c:v>
                </c:pt>
                <c:pt idx="80">
                  <c:v>1.0405519008286519E-2</c:v>
                </c:pt>
                <c:pt idx="81">
                  <c:v>1.4969123919398536E-2</c:v>
                </c:pt>
                <c:pt idx="82">
                  <c:v>7.0429322145665971E-3</c:v>
                </c:pt>
                <c:pt idx="83">
                  <c:v>0</c:v>
                </c:pt>
                <c:pt idx="84">
                  <c:v>1.6793098358877514E-2</c:v>
                </c:pt>
                <c:pt idx="85">
                  <c:v>1.0317886404176423E-2</c:v>
                </c:pt>
                <c:pt idx="86">
                  <c:v>8.9180423146507683E-3</c:v>
                </c:pt>
                <c:pt idx="87">
                  <c:v>7.0561841829934798E-3</c:v>
                </c:pt>
                <c:pt idx="88">
                  <c:v>1.0261064358903633E-2</c:v>
                </c:pt>
                <c:pt idx="89">
                  <c:v>8.0845788705309618E-3</c:v>
                </c:pt>
                <c:pt idx="90">
                  <c:v>-7.6092282079650757E-3</c:v>
                </c:pt>
                <c:pt idx="91">
                  <c:v>1.2249256361424972E-2</c:v>
                </c:pt>
                <c:pt idx="92">
                  <c:v>8.4501175464314592E-3</c:v>
                </c:pt>
                <c:pt idx="93">
                  <c:v>8.6865510815131476E-3</c:v>
                </c:pt>
                <c:pt idx="94">
                  <c:v>1.181988576038151E-2</c:v>
                </c:pt>
                <c:pt idx="95">
                  <c:v>1.8144098451235356E-2</c:v>
                </c:pt>
                <c:pt idx="96">
                  <c:v>7.6069975269066224E-3</c:v>
                </c:pt>
                <c:pt idx="97">
                  <c:v>-1.9080759416711959E-2</c:v>
                </c:pt>
                <c:pt idx="98">
                  <c:v>8.5622737308088323E-3</c:v>
                </c:pt>
                <c:pt idx="99">
                  <c:v>1.0476034857415148E-2</c:v>
                </c:pt>
                <c:pt idx="100">
                  <c:v>1.1889103515539802E-2</c:v>
                </c:pt>
                <c:pt idx="101">
                  <c:v>9.3330909953288372E-3</c:v>
                </c:pt>
                <c:pt idx="102">
                  <c:v>#N/A</c:v>
                </c:pt>
                <c:pt idx="103">
                  <c:v>9.3496779555370876E-3</c:v>
                </c:pt>
                <c:pt idx="104">
                  <c:v>3.1679409288534613E-3</c:v>
                </c:pt>
                <c:pt idx="105">
                  <c:v>8.2970536005621803E-3</c:v>
                </c:pt>
                <c:pt idx="106">
                  <c:v>#N/A</c:v>
                </c:pt>
                <c:pt idx="107">
                  <c:v>1.0342742913413671E-2</c:v>
                </c:pt>
                <c:pt idx="108">
                  <c:v>1.1477556947901042E-2</c:v>
                </c:pt>
                <c:pt idx="109">
                  <c:v>1.4588827110986413E-2</c:v>
                </c:pt>
                <c:pt idx="110">
                  <c:v>5.5729484712580277E-3</c:v>
                </c:pt>
                <c:pt idx="111">
                  <c:v>1.1561364009005946E-2</c:v>
                </c:pt>
                <c:pt idx="112">
                  <c:v>7.5873894197823512E-3</c:v>
                </c:pt>
                <c:pt idx="113">
                  <c:v>1.8834493752836478E-2</c:v>
                </c:pt>
                <c:pt idx="114">
                  <c:v>-1.7640345223794048E-2</c:v>
                </c:pt>
                <c:pt idx="115">
                  <c:v>1.1649985782669897E-2</c:v>
                </c:pt>
                <c:pt idx="116">
                  <c:v>1.3178411017774094E-2</c:v>
                </c:pt>
                <c:pt idx="117">
                  <c:v>8.1739346915065767E-3</c:v>
                </c:pt>
                <c:pt idx="118">
                  <c:v>9.6223981963620125E-3</c:v>
                </c:pt>
                <c:pt idx="119">
                  <c:v>1.1542030664824078E-2</c:v>
                </c:pt>
                <c:pt idx="120">
                  <c:v>9.6727599834882001E-3</c:v>
                </c:pt>
                <c:pt idx="121">
                  <c:v>9.2266693192714442E-3</c:v>
                </c:pt>
                <c:pt idx="122">
                  <c:v>1.4372116433185136E-2</c:v>
                </c:pt>
                <c:pt idx="123">
                  <c:v>8.5230455172629147E-3</c:v>
                </c:pt>
                <c:pt idx="124">
                  <c:v>1.5634010729446673E-2</c:v>
                </c:pt>
                <c:pt idx="125">
                  <c:v>1.1775527754966382E-2</c:v>
                </c:pt>
                <c:pt idx="126">
                  <c:v>6.4638302099662773E-3</c:v>
                </c:pt>
                <c:pt idx="127">
                  <c:v>1.6467530075168733E-2</c:v>
                </c:pt>
                <c:pt idx="128">
                  <c:v>1.1123009920640388E-2</c:v>
                </c:pt>
                <c:pt idx="129">
                  <c:v>-1.1683703485806737E-2</c:v>
                </c:pt>
                <c:pt idx="130">
                  <c:v>1.1100362756952841E-2</c:v>
                </c:pt>
                <c:pt idx="131">
                  <c:v>1.0503312685846627E-2</c:v>
                </c:pt>
                <c:pt idx="132">
                  <c:v>1.7203386568391172E-2</c:v>
                </c:pt>
                <c:pt idx="133">
                  <c:v>0</c:v>
                </c:pt>
                <c:pt idx="134">
                  <c:v>1.1764376609321938E-2</c:v>
                </c:pt>
                <c:pt idx="135">
                  <c:v>1.0933855231134767E-2</c:v>
                </c:pt>
                <c:pt idx="136">
                  <c:v>1.3353004543112735E-2</c:v>
                </c:pt>
                <c:pt idx="137">
                  <c:v>1.1707759072917164E-2</c:v>
                </c:pt>
                <c:pt idx="138">
                  <c:v>1.1248481952656831E-2</c:v>
                </c:pt>
                <c:pt idx="139">
                  <c:v>1.2227367802191736E-2</c:v>
                </c:pt>
                <c:pt idx="140">
                  <c:v>4.3468944194446999E-3</c:v>
                </c:pt>
                <c:pt idx="141">
                  <c:v>8.5166652851520596E-3</c:v>
                </c:pt>
                <c:pt idx="142">
                  <c:v>9.8220393947740167E-3</c:v>
                </c:pt>
                <c:pt idx="143">
                  <c:v>8.9423631005663383E-3</c:v>
                </c:pt>
                <c:pt idx="144">
                  <c:v>9.9309746531628749E-3</c:v>
                </c:pt>
                <c:pt idx="145">
                  <c:v>9.8056428880720498E-3</c:v>
                </c:pt>
                <c:pt idx="146">
                  <c:v>6.385940490690795E-3</c:v>
                </c:pt>
                <c:pt idx="147">
                  <c:v>0</c:v>
                </c:pt>
                <c:pt idx="148">
                  <c:v>8.0454149330550454E-3</c:v>
                </c:pt>
                <c:pt idx="149">
                  <c:v>1.0757153963121749E-2</c:v>
                </c:pt>
                <c:pt idx="150">
                  <c:v>1.0102258680750646E-2</c:v>
                </c:pt>
                <c:pt idx="151">
                  <c:v>7.4710838092309105E-3</c:v>
                </c:pt>
                <c:pt idx="152">
                  <c:v>1.1065501993340677E-2</c:v>
                </c:pt>
                <c:pt idx="153">
                  <c:v>1.4978769168159229E-2</c:v>
                </c:pt>
                <c:pt idx="154">
                  <c:v>1.2376015099882785E-2</c:v>
                </c:pt>
                <c:pt idx="155">
                  <c:v>1.2192668377005082E-2</c:v>
                </c:pt>
                <c:pt idx="156">
                  <c:v>1.0457211474157744E-2</c:v>
                </c:pt>
                <c:pt idx="157">
                  <c:v>8.1295752349790189E-3</c:v>
                </c:pt>
                <c:pt idx="158">
                  <c:v>9.275658416907747E-3</c:v>
                </c:pt>
                <c:pt idx="159">
                  <c:v>1.209713735552758E-2</c:v>
                </c:pt>
                <c:pt idx="160">
                  <c:v>1.1879095937519596E-2</c:v>
                </c:pt>
                <c:pt idx="161">
                  <c:v>1.2339103604656098E-2</c:v>
                </c:pt>
                <c:pt idx="162">
                  <c:v>0</c:v>
                </c:pt>
                <c:pt idx="163">
                  <c:v>9.3241476952679002E-3</c:v>
                </c:pt>
                <c:pt idx="164">
                  <c:v>1.3426863024182301E-2</c:v>
                </c:pt>
                <c:pt idx="165">
                  <c:v>6.7761621380482669E-3</c:v>
                </c:pt>
                <c:pt idx="166">
                  <c:v>1.359844716532705E-2</c:v>
                </c:pt>
                <c:pt idx="167">
                  <c:v>1.478693486229371E-2</c:v>
                </c:pt>
                <c:pt idx="168">
                  <c:v>1.4035635744277224E-2</c:v>
                </c:pt>
                <c:pt idx="169">
                  <c:v>1.941158146259055E-2</c:v>
                </c:pt>
                <c:pt idx="170">
                  <c:v>7.8898239634752065E-3</c:v>
                </c:pt>
                <c:pt idx="171">
                  <c:v>8.089206586231119E-3</c:v>
                </c:pt>
                <c:pt idx="172">
                  <c:v>8.2335670650252792E-3</c:v>
                </c:pt>
                <c:pt idx="173">
                  <c:v>9.6039147053957798E-3</c:v>
                </c:pt>
                <c:pt idx="174">
                  <c:v>1.1927659200479942E-2</c:v>
                </c:pt>
                <c:pt idx="175">
                  <c:v>1.8365401453317807E-2</c:v>
                </c:pt>
                <c:pt idx="176">
                  <c:v>8.7657900534553104E-3</c:v>
                </c:pt>
                <c:pt idx="177">
                  <c:v>9.9965777314129645E-3</c:v>
                </c:pt>
                <c:pt idx="178">
                  <c:v>1.348165409563145E-2</c:v>
                </c:pt>
                <c:pt idx="179">
                  <c:v>5.3838586603502485E-3</c:v>
                </c:pt>
                <c:pt idx="180">
                  <c:v>7.2144871689326902E-3</c:v>
                </c:pt>
                <c:pt idx="181">
                  <c:v>1.171660984923018E-2</c:v>
                </c:pt>
                <c:pt idx="182">
                  <c:v>1.1339834688407919E-2</c:v>
                </c:pt>
                <c:pt idx="183">
                  <c:v>7.4747491741447881E-3</c:v>
                </c:pt>
                <c:pt idx="184">
                  <c:v>1.1064656404600979E-2</c:v>
                </c:pt>
                <c:pt idx="185">
                  <c:v>7.2824134378147633E-3</c:v>
                </c:pt>
                <c:pt idx="186">
                  <c:v>8.22959061527412E-3</c:v>
                </c:pt>
                <c:pt idx="187">
                  <c:v>3.6666173399759945E-3</c:v>
                </c:pt>
                <c:pt idx="188">
                  <c:v>1.1946690107327114E-2</c:v>
                </c:pt>
                <c:pt idx="189">
                  <c:v>4.8734176824083136E-3</c:v>
                </c:pt>
                <c:pt idx="190">
                  <c:v>1.858168206151448E-2</c:v>
                </c:pt>
                <c:pt idx="191">
                  <c:v>1.158026857984939E-2</c:v>
                </c:pt>
                <c:pt idx="192">
                  <c:v>1.1639520847605243E-2</c:v>
                </c:pt>
                <c:pt idx="193">
                  <c:v>1.6453444852525624E-2</c:v>
                </c:pt>
                <c:pt idx="194">
                  <c:v>9.507545993508679E-3</c:v>
                </c:pt>
                <c:pt idx="195">
                  <c:v>1.8024771163711165E-2</c:v>
                </c:pt>
                <c:pt idx="196">
                  <c:v>1.6475266357006267E-2</c:v>
                </c:pt>
                <c:pt idx="197">
                  <c:v>1.0470549494909271E-2</c:v>
                </c:pt>
                <c:pt idx="198">
                  <c:v>1.0450682404802425E-2</c:v>
                </c:pt>
                <c:pt idx="199">
                  <c:v>1.1885383323988728E-2</c:v>
                </c:pt>
                <c:pt idx="200">
                  <c:v>8.6119726017707E-3</c:v>
                </c:pt>
                <c:pt idx="201">
                  <c:v>1.1086538214429316E-2</c:v>
                </c:pt>
                <c:pt idx="202">
                  <c:v>8.5237623363187218E-3</c:v>
                </c:pt>
                <c:pt idx="203">
                  <c:v>1.163461991184577E-2</c:v>
                </c:pt>
                <c:pt idx="204">
                  <c:v>2.4872385844036091E-2</c:v>
                </c:pt>
                <c:pt idx="205">
                  <c:v>1.105351686309616E-2</c:v>
                </c:pt>
                <c:pt idx="206">
                  <c:v>1.3283316641376349E-2</c:v>
                </c:pt>
                <c:pt idx="207">
                  <c:v>1.1532585839631326E-2</c:v>
                </c:pt>
                <c:pt idx="208">
                  <c:v>1.1248426199819703E-2</c:v>
                </c:pt>
                <c:pt idx="209">
                  <c:v>1.5866509694092115E-2</c:v>
                </c:pt>
                <c:pt idx="210">
                  <c:v>1.2162711659096626E-2</c:v>
                </c:pt>
                <c:pt idx="211">
                  <c:v>3.3233996844097761E-3</c:v>
                </c:pt>
                <c:pt idx="212">
                  <c:v>1.4670253666216946E-2</c:v>
                </c:pt>
                <c:pt idx="213">
                  <c:v>1.0580413864952945E-2</c:v>
                </c:pt>
                <c:pt idx="214">
                  <c:v>7.8604736949344362E-3</c:v>
                </c:pt>
                <c:pt idx="215">
                  <c:v>1.5603318969334678E-2</c:v>
                </c:pt>
                <c:pt idx="216">
                  <c:v>1.9491525423728815E-2</c:v>
                </c:pt>
                <c:pt idx="217">
                  <c:v>1.6405470290112027E-2</c:v>
                </c:pt>
                <c:pt idx="218">
                  <c:v>1.1843196886946201E-2</c:v>
                </c:pt>
                <c:pt idx="219">
                  <c:v>1.232738681889038E-2</c:v>
                </c:pt>
                <c:pt idx="220">
                  <c:v>1.6416624736930289E-2</c:v>
                </c:pt>
                <c:pt idx="221">
                  <c:v>1.6214821415586729E-2</c:v>
                </c:pt>
                <c:pt idx="222">
                  <c:v>9.6095046808845966E-3</c:v>
                </c:pt>
                <c:pt idx="223">
                  <c:v>1.4113225746277144E-2</c:v>
                </c:pt>
                <c:pt idx="224">
                  <c:v>1.3702710829227225E-2</c:v>
                </c:pt>
                <c:pt idx="225">
                  <c:v>1.1516623407205381E-2</c:v>
                </c:pt>
                <c:pt idx="226">
                  <c:v>1.3802707113467056E-2</c:v>
                </c:pt>
                <c:pt idx="227">
                  <c:v>9.6692351240948073E-3</c:v>
                </c:pt>
                <c:pt idx="228">
                  <c:v>1.287626578596608E-2</c:v>
                </c:pt>
                <c:pt idx="229">
                  <c:v>1.3473051410821207E-2</c:v>
                </c:pt>
                <c:pt idx="230">
                  <c:v>1.338988400910137E-2</c:v>
                </c:pt>
                <c:pt idx="231">
                  <c:v>8.0553985251404937E-3</c:v>
                </c:pt>
                <c:pt idx="232">
                  <c:v>6.895887674651084E-3</c:v>
                </c:pt>
                <c:pt idx="233">
                  <c:v>1.3575629352575969E-2</c:v>
                </c:pt>
                <c:pt idx="234">
                  <c:v>2.4401478760856143E-2</c:v>
                </c:pt>
                <c:pt idx="235">
                  <c:v>2.0778057606195714E-2</c:v>
                </c:pt>
                <c:pt idx="236">
                  <c:v>1.1748888418378149E-2</c:v>
                </c:pt>
                <c:pt idx="237">
                  <c:v>5.7448206417333803E-3</c:v>
                </c:pt>
                <c:pt idx="238">
                  <c:v>1.4696746812436583E-2</c:v>
                </c:pt>
                <c:pt idx="239">
                  <c:v>1.2984660769464739E-2</c:v>
                </c:pt>
                <c:pt idx="240">
                  <c:v>9.9111303176652992E-3</c:v>
                </c:pt>
                <c:pt idx="241">
                  <c:v>6.9952132763361312E-3</c:v>
                </c:pt>
                <c:pt idx="242">
                  <c:v>7.5157081479227447E-3</c:v>
                </c:pt>
                <c:pt idx="243">
                  <c:v>9.5193730790663553E-3</c:v>
                </c:pt>
                <c:pt idx="244">
                  <c:v>9.0010117341560447E-3</c:v>
                </c:pt>
                <c:pt idx="245">
                  <c:v>1.4975559469558631E-2</c:v>
                </c:pt>
                <c:pt idx="246">
                  <c:v>7.732560375504822E-3</c:v>
                </c:pt>
                <c:pt idx="247">
                  <c:v>3.9743985977467909E-3</c:v>
                </c:pt>
                <c:pt idx="248">
                  <c:v>1.069553022980642E-2</c:v>
                </c:pt>
                <c:pt idx="249">
                  <c:v>1.2892494745643969E-2</c:v>
                </c:pt>
                <c:pt idx="250">
                  <c:v>1.044473667191239E-2</c:v>
                </c:pt>
                <c:pt idx="251">
                  <c:v>9.9196771901660149E-3</c:v>
                </c:pt>
                <c:pt idx="252">
                  <c:v>-1.6199624813734246E-2</c:v>
                </c:pt>
                <c:pt idx="253">
                  <c:v>1.2956425014316927E-2</c:v>
                </c:pt>
                <c:pt idx="254">
                  <c:v>6.95114188523347E-3</c:v>
                </c:pt>
                <c:pt idx="255">
                  <c:v>4.1800568688052323E-3</c:v>
                </c:pt>
                <c:pt idx="256">
                  <c:v>6.5801675881807633E-3</c:v>
                </c:pt>
                <c:pt idx="257">
                  <c:v>7.5226873236381286E-3</c:v>
                </c:pt>
                <c:pt idx="258">
                  <c:v>5.3612461386488191E-3</c:v>
                </c:pt>
                <c:pt idx="259">
                  <c:v>1.4810193032722414E-2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8-4189-9395-D1AF77D1F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956111"/>
        <c:axId val="1048298976"/>
      </c:scatterChart>
      <c:valAx>
        <c:axId val="107895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98976"/>
        <c:crosses val="autoZero"/>
        <c:crossBetween val="midCat"/>
      </c:valAx>
      <c:valAx>
        <c:axId val="10482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5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by Net Income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dashboard_data_raw!$R$2:$R$16</c:f>
              <c:strCache>
                <c:ptCount val="15"/>
                <c:pt idx="0">
                  <c:v>JPMORGAN CHASE &amp; CO</c:v>
                </c:pt>
                <c:pt idx="1">
                  <c:v>BANK OF AMERICA CORP /DE/</c:v>
                </c:pt>
                <c:pt idx="2">
                  <c:v>WELLS FARGO &amp; COMPANY/MN</c:v>
                </c:pt>
                <c:pt idx="3">
                  <c:v>CITIGROUP INC</c:v>
                </c:pt>
                <c:pt idx="4">
                  <c:v>US BANCORP DE</c:v>
                </c:pt>
                <c:pt idx="5">
                  <c:v>BANK OF NEW YORK MELLON CORP</c:v>
                </c:pt>
                <c:pt idx="6">
                  <c:v>STATE STREET CORP</c:v>
                </c:pt>
                <c:pt idx="7">
                  <c:v>M&amp;T BANK CORP</c:v>
                </c:pt>
                <c:pt idx="8">
                  <c:v>FIFTH THIRD BANCORP</c:v>
                </c:pt>
                <c:pt idx="9">
                  <c:v>CAPITAL ONE FINANCIAL CORP</c:v>
                </c:pt>
                <c:pt idx="10">
                  <c:v>HUNTINGTON BANCSHARES INC /MD/</c:v>
                </c:pt>
                <c:pt idx="11">
                  <c:v>FIRST CITIZENS BANCSHARES INC /DE/</c:v>
                </c:pt>
                <c:pt idx="12">
                  <c:v>REGIONS FINANCIAL CORP</c:v>
                </c:pt>
                <c:pt idx="13">
                  <c:v>CITIZENS FINANCIAL GROUP INC/RI</c:v>
                </c:pt>
                <c:pt idx="14">
                  <c:v>KEYCORP /NEW/</c:v>
                </c:pt>
              </c:strCache>
            </c:strRef>
          </c:cat>
          <c:val>
            <c:numRef>
              <c:f>dashboard_data_raw!$S$2:$S$16</c:f>
              <c:numCache>
                <c:formatCode>General</c:formatCode>
                <c:ptCount val="15"/>
                <c:pt idx="0">
                  <c:v>57048000000</c:v>
                </c:pt>
                <c:pt idx="1">
                  <c:v>30509000000</c:v>
                </c:pt>
                <c:pt idx="2">
                  <c:v>21338000000</c:v>
                </c:pt>
                <c:pt idx="3">
                  <c:v>14306000000</c:v>
                </c:pt>
                <c:pt idx="4">
                  <c:v>7570000000</c:v>
                </c:pt>
                <c:pt idx="5">
                  <c:v>5549000000</c:v>
                </c:pt>
                <c:pt idx="6">
                  <c:v>2945000000</c:v>
                </c:pt>
                <c:pt idx="7">
                  <c:v>2851000000</c:v>
                </c:pt>
                <c:pt idx="8">
                  <c:v>2522000000</c:v>
                </c:pt>
                <c:pt idx="9">
                  <c:v>2453000000</c:v>
                </c:pt>
                <c:pt idx="10">
                  <c:v>2211000000</c:v>
                </c:pt>
                <c:pt idx="11">
                  <c:v>2206000000</c:v>
                </c:pt>
                <c:pt idx="12">
                  <c:v>2156000000</c:v>
                </c:pt>
                <c:pt idx="13">
                  <c:v>1831000000</c:v>
                </c:pt>
                <c:pt idx="14">
                  <c:v>1829000000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F-4FB4-B667-B0169EE23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07659039"/>
        <c:axId val="1048283616"/>
      </c:barChart>
      <c:catAx>
        <c:axId val="18076590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83616"/>
        <c:crosses val="autoZero"/>
        <c:auto val="1"/>
        <c:lblAlgn val="ctr"/>
        <c:lblOffset val="100"/>
        <c:noMultiLvlLbl val="0"/>
      </c:catAx>
      <c:valAx>
        <c:axId val="1048283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5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</a:t>
            </a:r>
            <a:r>
              <a:rPr lang="en-US" baseline="0"/>
              <a:t> Ratio vs 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dashboard_data_raw!$M$2:$M$261</c:f>
              <c:numCache>
                <c:formatCode>General</c:formatCode>
                <c:ptCount val="260"/>
                <c:pt idx="0">
                  <c:v>10.946831798723931</c:v>
                </c:pt>
                <c:pt idx="1">
                  <c:v>9.352127348888704</c:v>
                </c:pt>
                <c:pt idx="2">
                  <c:v>19.998899386624455</c:v>
                </c:pt>
                <c:pt idx="3">
                  <c:v>9.9366913173015536</c:v>
                </c:pt>
                <c:pt idx="4">
                  <c:v>8.8437550413370438</c:v>
                </c:pt>
                <c:pt idx="5">
                  <c:v>10.294874169854488</c:v>
                </c:pt>
                <c:pt idx="6">
                  <c:v>12.776720192647881</c:v>
                </c:pt>
                <c:pt idx="7">
                  <c:v>8.4778944757165728</c:v>
                </c:pt>
                <c:pt idx="8">
                  <c:v>9.6275370444900794</c:v>
                </c:pt>
                <c:pt idx="9">
                  <c:v>13.541278966920219</c:v>
                </c:pt>
                <c:pt idx="10">
                  <c:v>10.012926418187718</c:v>
                </c:pt>
                <c:pt idx="11">
                  <c:v>11.182699201463571</c:v>
                </c:pt>
                <c:pt idx="12">
                  <c:v>8.2394906238525554</c:v>
                </c:pt>
                <c:pt idx="13">
                  <c:v>9.5483413715016674</c:v>
                </c:pt>
                <c:pt idx="14">
                  <c:v>7.5349618823228814</c:v>
                </c:pt>
                <c:pt idx="15">
                  <c:v>10.001249741843582</c:v>
                </c:pt>
                <c:pt idx="16">
                  <c:v>10.875629200649719</c:v>
                </c:pt>
                <c:pt idx="17">
                  <c:v>10.576742195886963</c:v>
                </c:pt>
                <c:pt idx="18">
                  <c:v>8.5832925866024752</c:v>
                </c:pt>
                <c:pt idx="19">
                  <c:v>10.013511895175444</c:v>
                </c:pt>
                <c:pt idx="20">
                  <c:v>9.2790247886691475</c:v>
                </c:pt>
                <c:pt idx="21">
                  <c:v>9.1768040531288513</c:v>
                </c:pt>
                <c:pt idx="22">
                  <c:v>6.3885564001585786</c:v>
                </c:pt>
                <c:pt idx="23">
                  <c:v>9.166931995762539</c:v>
                </c:pt>
                <c:pt idx="24">
                  <c:v>12.279108725590593</c:v>
                </c:pt>
                <c:pt idx="25">
                  <c:v>8.8010960092811796</c:v>
                </c:pt>
                <c:pt idx="26">
                  <c:v>#N/A</c:v>
                </c:pt>
                <c:pt idx="27">
                  <c:v>8.7953622350204022</c:v>
                </c:pt>
                <c:pt idx="28">
                  <c:v>8.7809349565950647</c:v>
                </c:pt>
                <c:pt idx="29">
                  <c:v>11.899653460897007</c:v>
                </c:pt>
                <c:pt idx="30">
                  <c:v>10.13871004353204</c:v>
                </c:pt>
                <c:pt idx="31">
                  <c:v>9.3520171329704187</c:v>
                </c:pt>
                <c:pt idx="32">
                  <c:v>13.044320157968501</c:v>
                </c:pt>
                <c:pt idx="33">
                  <c:v>10.610124570267878</c:v>
                </c:pt>
                <c:pt idx="34">
                  <c:v>9.5706462108887287</c:v>
                </c:pt>
                <c:pt idx="35">
                  <c:v>7.2230323740649869</c:v>
                </c:pt>
                <c:pt idx="36">
                  <c:v>12.15975324399064</c:v>
                </c:pt>
                <c:pt idx="37">
                  <c:v>12.184968821241787</c:v>
                </c:pt>
                <c:pt idx="38">
                  <c:v>15.604256357520088</c:v>
                </c:pt>
                <c:pt idx="39">
                  <c:v>9.5299074837409545</c:v>
                </c:pt>
                <c:pt idx="40">
                  <c:v>8.9367567993241845</c:v>
                </c:pt>
                <c:pt idx="41">
                  <c:v>9.0728317238279033</c:v>
                </c:pt>
                <c:pt idx="42">
                  <c:v>9.0653895418146959</c:v>
                </c:pt>
                <c:pt idx="43">
                  <c:v>9.2956765360601921</c:v>
                </c:pt>
                <c:pt idx="44">
                  <c:v>8.8148514207282886</c:v>
                </c:pt>
                <c:pt idx="45">
                  <c:v>9.3807212174969301</c:v>
                </c:pt>
                <c:pt idx="46">
                  <c:v>7.8234227773461624</c:v>
                </c:pt>
                <c:pt idx="47">
                  <c:v>8.6900919804093668</c:v>
                </c:pt>
                <c:pt idx="48">
                  <c:v>14.018447228879754</c:v>
                </c:pt>
                <c:pt idx="49">
                  <c:v>12.057499513128255</c:v>
                </c:pt>
                <c:pt idx="50">
                  <c:v>18.433099134079072</c:v>
                </c:pt>
                <c:pt idx="51">
                  <c:v>8.70587688886339</c:v>
                </c:pt>
                <c:pt idx="52">
                  <c:v>7.9791360764268395</c:v>
                </c:pt>
                <c:pt idx="53">
                  <c:v>10.818852525977601</c:v>
                </c:pt>
                <c:pt idx="54">
                  <c:v>9.9771012031409523</c:v>
                </c:pt>
                <c:pt idx="55">
                  <c:v>12.898626488708464</c:v>
                </c:pt>
                <c:pt idx="56">
                  <c:v>#N/A</c:v>
                </c:pt>
                <c:pt idx="57">
                  <c:v>11.480599264745752</c:v>
                </c:pt>
                <c:pt idx="58">
                  <c:v>8.8875848171109979</c:v>
                </c:pt>
                <c:pt idx="59">
                  <c:v>#N/A</c:v>
                </c:pt>
                <c:pt idx="60">
                  <c:v>#N/A</c:v>
                </c:pt>
                <c:pt idx="61">
                  <c:v>9.4778608926986614</c:v>
                </c:pt>
                <c:pt idx="62">
                  <c:v>8.4412475250450658</c:v>
                </c:pt>
                <c:pt idx="63">
                  <c:v>14.711028611563487</c:v>
                </c:pt>
                <c:pt idx="64">
                  <c:v>10.237060500475135</c:v>
                </c:pt>
                <c:pt idx="65">
                  <c:v>#N/A</c:v>
                </c:pt>
                <c:pt idx="66">
                  <c:v>9.8671014774915093</c:v>
                </c:pt>
                <c:pt idx="67">
                  <c:v>8.9581507485298193</c:v>
                </c:pt>
                <c:pt idx="68">
                  <c:v>8.201809900153842</c:v>
                </c:pt>
                <c:pt idx="69">
                  <c:v>11.650668430637561</c:v>
                </c:pt>
                <c:pt idx="70">
                  <c:v>10.941735818063384</c:v>
                </c:pt>
                <c:pt idx="71">
                  <c:v>8.0305046895143679</c:v>
                </c:pt>
                <c:pt idx="72">
                  <c:v>12.980011992804318</c:v>
                </c:pt>
                <c:pt idx="73">
                  <c:v>9.9078893786231017</c:v>
                </c:pt>
                <c:pt idx="74">
                  <c:v>12.341487974525606</c:v>
                </c:pt>
                <c:pt idx="75">
                  <c:v>9.8941807253949037</c:v>
                </c:pt>
                <c:pt idx="76">
                  <c:v>8.9760900245670889</c:v>
                </c:pt>
                <c:pt idx="77">
                  <c:v>8.4142364867983162</c:v>
                </c:pt>
                <c:pt idx="78">
                  <c:v>8.2825167123130328</c:v>
                </c:pt>
                <c:pt idx="79">
                  <c:v>9.2578672906923636</c:v>
                </c:pt>
                <c:pt idx="80">
                  <c:v>10.800082351124608</c:v>
                </c:pt>
                <c:pt idx="81">
                  <c:v>6.5121616951055543</c:v>
                </c:pt>
                <c:pt idx="82">
                  <c:v>10.981299592313388</c:v>
                </c:pt>
                <c:pt idx="83">
                  <c:v>#N/A</c:v>
                </c:pt>
                <c:pt idx="84">
                  <c:v>6.931621666594765</c:v>
                </c:pt>
                <c:pt idx="85">
                  <c:v>8.1801087143018805</c:v>
                </c:pt>
                <c:pt idx="86">
                  <c:v>10.26263384224653</c:v>
                </c:pt>
                <c:pt idx="87">
                  <c:v>10.12241583596763</c:v>
                </c:pt>
                <c:pt idx="88">
                  <c:v>11.504889893661559</c:v>
                </c:pt>
                <c:pt idx="89">
                  <c:v>9.4098374812753054</c:v>
                </c:pt>
                <c:pt idx="90">
                  <c:v>9.1453204687894818</c:v>
                </c:pt>
                <c:pt idx="91">
                  <c:v>12.012399687917966</c:v>
                </c:pt>
                <c:pt idx="92">
                  <c:v>8.0720560724352097</c:v>
                </c:pt>
                <c:pt idx="93">
                  <c:v>10.945337171582633</c:v>
                </c:pt>
                <c:pt idx="94">
                  <c:v>9.7276884240894343</c:v>
                </c:pt>
                <c:pt idx="95">
                  <c:v>10.654287620672472</c:v>
                </c:pt>
                <c:pt idx="96">
                  <c:v>14.113885949441505</c:v>
                </c:pt>
                <c:pt idx="97">
                  <c:v>11.518004452704602</c:v>
                </c:pt>
                <c:pt idx="98">
                  <c:v>10.11415912937105</c:v>
                </c:pt>
                <c:pt idx="99">
                  <c:v>11.14421753364136</c:v>
                </c:pt>
                <c:pt idx="100">
                  <c:v>7.8087165378400805</c:v>
                </c:pt>
                <c:pt idx="101">
                  <c:v>12.280788030341913</c:v>
                </c:pt>
                <c:pt idx="102">
                  <c:v>#N/A</c:v>
                </c:pt>
                <c:pt idx="103">
                  <c:v>12.853400128002653</c:v>
                </c:pt>
                <c:pt idx="104">
                  <c:v>9.8243142880720082</c:v>
                </c:pt>
                <c:pt idx="105">
                  <c:v>8.135723418848773</c:v>
                </c:pt>
                <c:pt idx="106">
                  <c:v>#N/A</c:v>
                </c:pt>
                <c:pt idx="107">
                  <c:v>9.0098269480551192</c:v>
                </c:pt>
                <c:pt idx="108">
                  <c:v>7.6864901160548031</c:v>
                </c:pt>
                <c:pt idx="109">
                  <c:v>9.3692765432307468</c:v>
                </c:pt>
                <c:pt idx="110">
                  <c:v>10.640515254663164</c:v>
                </c:pt>
                <c:pt idx="111">
                  <c:v>10.343986195403589</c:v>
                </c:pt>
                <c:pt idx="112">
                  <c:v>10.466312436934555</c:v>
                </c:pt>
                <c:pt idx="113">
                  <c:v>5.4841712832821132</c:v>
                </c:pt>
                <c:pt idx="114">
                  <c:v>14.848382418435747</c:v>
                </c:pt>
                <c:pt idx="115">
                  <c:v>10.833564582033885</c:v>
                </c:pt>
                <c:pt idx="116">
                  <c:v>11.32547428606995</c:v>
                </c:pt>
                <c:pt idx="117">
                  <c:v>13.109869450700462</c:v>
                </c:pt>
                <c:pt idx="118">
                  <c:v>9.0388643533123023</c:v>
                </c:pt>
                <c:pt idx="119">
                  <c:v>7.3569322915040978</c:v>
                </c:pt>
                <c:pt idx="120">
                  <c:v>11.629255834975186</c:v>
                </c:pt>
                <c:pt idx="121">
                  <c:v>7.6610437330529253</c:v>
                </c:pt>
                <c:pt idx="122">
                  <c:v>8.7624773973508958</c:v>
                </c:pt>
                <c:pt idx="123">
                  <c:v>12.828191031264396</c:v>
                </c:pt>
                <c:pt idx="124">
                  <c:v>6.9952895144869975</c:v>
                </c:pt>
                <c:pt idx="125">
                  <c:v>#N/A</c:v>
                </c:pt>
                <c:pt idx="126">
                  <c:v>11.560535338589506</c:v>
                </c:pt>
                <c:pt idx="127">
                  <c:v>5.0577654701208621</c:v>
                </c:pt>
                <c:pt idx="128">
                  <c:v>8.1925593241634562</c:v>
                </c:pt>
                <c:pt idx="129">
                  <c:v>11.489649345162654</c:v>
                </c:pt>
                <c:pt idx="130">
                  <c:v>10.979421881600386</c:v>
                </c:pt>
                <c:pt idx="131">
                  <c:v>9.0853152553982675</c:v>
                </c:pt>
                <c:pt idx="132">
                  <c:v>8.6815795658087804</c:v>
                </c:pt>
                <c:pt idx="133">
                  <c:v>7.1023340923048446</c:v>
                </c:pt>
                <c:pt idx="134">
                  <c:v>9.8681642423126501</c:v>
                </c:pt>
                <c:pt idx="135">
                  <c:v>10.619928519933122</c:v>
                </c:pt>
                <c:pt idx="136">
                  <c:v>7.3177502827569665</c:v>
                </c:pt>
                <c:pt idx="137">
                  <c:v>9.4807279303718772</c:v>
                </c:pt>
                <c:pt idx="138">
                  <c:v>7.4314247669773632</c:v>
                </c:pt>
                <c:pt idx="139">
                  <c:v>11.598733095475303</c:v>
                </c:pt>
                <c:pt idx="140">
                  <c:v>12.646922183507549</c:v>
                </c:pt>
                <c:pt idx="141">
                  <c:v>13.059748964462202</c:v>
                </c:pt>
                <c:pt idx="142">
                  <c:v>9.2476378276230378</c:v>
                </c:pt>
                <c:pt idx="143">
                  <c:v>11.25083843650142</c:v>
                </c:pt>
                <c:pt idx="144">
                  <c:v>11.863221011832131</c:v>
                </c:pt>
                <c:pt idx="145">
                  <c:v>13.669861628813312</c:v>
                </c:pt>
                <c:pt idx="146">
                  <c:v>13.860438942037142</c:v>
                </c:pt>
                <c:pt idx="147">
                  <c:v>8.3992391354369609</c:v>
                </c:pt>
                <c:pt idx="148">
                  <c:v>13.147767680758593</c:v>
                </c:pt>
                <c:pt idx="149">
                  <c:v>8.9438524442446763</c:v>
                </c:pt>
                <c:pt idx="150">
                  <c:v>12.394150417827298</c:v>
                </c:pt>
                <c:pt idx="151">
                  <c:v>7.3328748447740812</c:v>
                </c:pt>
                <c:pt idx="152">
                  <c:v>7.9973595270022759</c:v>
                </c:pt>
                <c:pt idx="153">
                  <c:v>6.7506599562122735</c:v>
                </c:pt>
                <c:pt idx="154">
                  <c:v>7.3961262077362893</c:v>
                </c:pt>
                <c:pt idx="155">
                  <c:v>9.20180137386415</c:v>
                </c:pt>
                <c:pt idx="156">
                  <c:v>12.503338784064963</c:v>
                </c:pt>
                <c:pt idx="157">
                  <c:v>10.045350778360458</c:v>
                </c:pt>
                <c:pt idx="158">
                  <c:v>8.4936748274353633</c:v>
                </c:pt>
                <c:pt idx="159">
                  <c:v>7.6300942216136267</c:v>
                </c:pt>
                <c:pt idx="160">
                  <c:v>7.7128777415030081</c:v>
                </c:pt>
                <c:pt idx="161">
                  <c:v>7.9408302753001845</c:v>
                </c:pt>
                <c:pt idx="162">
                  <c:v>9.4672278616819341</c:v>
                </c:pt>
                <c:pt idx="163">
                  <c:v>8.2140376074996748</c:v>
                </c:pt>
                <c:pt idx="164">
                  <c:v>7.2172413051427098</c:v>
                </c:pt>
                <c:pt idx="165">
                  <c:v>6.8859923215625605</c:v>
                </c:pt>
                <c:pt idx="166">
                  <c:v>6.7430392034303432</c:v>
                </c:pt>
                <c:pt idx="167">
                  <c:v>9.1684083089914381</c:v>
                </c:pt>
                <c:pt idx="168">
                  <c:v>7.9329964131384409</c:v>
                </c:pt>
                <c:pt idx="169">
                  <c:v>8.3020674834502515</c:v>
                </c:pt>
                <c:pt idx="170">
                  <c:v>12.181546918231589</c:v>
                </c:pt>
                <c:pt idx="171">
                  <c:v>8.6009423566515935</c:v>
                </c:pt>
                <c:pt idx="172">
                  <c:v>6.9867628714248537</c:v>
                </c:pt>
                <c:pt idx="173">
                  <c:v>10.329076355787391</c:v>
                </c:pt>
                <c:pt idx="174">
                  <c:v>8.8570978429107754</c:v>
                </c:pt>
                <c:pt idx="175">
                  <c:v>#N/A</c:v>
                </c:pt>
                <c:pt idx="176">
                  <c:v>7.6584355398000685</c:v>
                </c:pt>
                <c:pt idx="177">
                  <c:v>10.321426477137523</c:v>
                </c:pt>
                <c:pt idx="178">
                  <c:v>7.7829927936185088</c:v>
                </c:pt>
                <c:pt idx="179">
                  <c:v>12.516790631727204</c:v>
                </c:pt>
                <c:pt idx="180">
                  <c:v>10.395685910193261</c:v>
                </c:pt>
                <c:pt idx="181">
                  <c:v>7.6957874353544113</c:v>
                </c:pt>
                <c:pt idx="182">
                  <c:v>7.7286335944299394</c:v>
                </c:pt>
                <c:pt idx="183">
                  <c:v>7.5888517808421385</c:v>
                </c:pt>
                <c:pt idx="184">
                  <c:v>8.8259208271621592</c:v>
                </c:pt>
                <c:pt idx="185">
                  <c:v>7.507544146510126</c:v>
                </c:pt>
                <c:pt idx="186">
                  <c:v>8.5244897959183668</c:v>
                </c:pt>
                <c:pt idx="187">
                  <c:v>5.8883343895226021</c:v>
                </c:pt>
                <c:pt idx="188">
                  <c:v>8.4028737648981622</c:v>
                </c:pt>
                <c:pt idx="189">
                  <c:v>8.7602279630687807</c:v>
                </c:pt>
                <c:pt idx="190">
                  <c:v>#N/A</c:v>
                </c:pt>
                <c:pt idx="191">
                  <c:v>9.8009146246959684</c:v>
                </c:pt>
                <c:pt idx="192">
                  <c:v>8.483378820880402</c:v>
                </c:pt>
                <c:pt idx="193">
                  <c:v>8.9680663019197766</c:v>
                </c:pt>
                <c:pt idx="194">
                  <c:v>10.610450046026857</c:v>
                </c:pt>
                <c:pt idx="195">
                  <c:v>9.7276081479918552</c:v>
                </c:pt>
                <c:pt idx="196">
                  <c:v>9.0384505262381953</c:v>
                </c:pt>
                <c:pt idx="197">
                  <c:v>8.6854740151270224</c:v>
                </c:pt>
                <c:pt idx="198">
                  <c:v>7.3072250012797451</c:v>
                </c:pt>
                <c:pt idx="199">
                  <c:v>7.4176631959791184</c:v>
                </c:pt>
                <c:pt idx="200">
                  <c:v>11.109652380798588</c:v>
                </c:pt>
                <c:pt idx="201">
                  <c:v>7.135526750866716</c:v>
                </c:pt>
                <c:pt idx="202">
                  <c:v>10.456496388477939</c:v>
                </c:pt>
                <c:pt idx="203">
                  <c:v>7.697280679060805</c:v>
                </c:pt>
                <c:pt idx="204">
                  <c:v>5.0978414571363722</c:v>
                </c:pt>
                <c:pt idx="205">
                  <c:v>10.495114604659831</c:v>
                </c:pt>
                <c:pt idx="206">
                  <c:v>8.608626544194923</c:v>
                </c:pt>
                <c:pt idx="207">
                  <c:v>8.6500883776605821</c:v>
                </c:pt>
                <c:pt idx="208">
                  <c:v>8.5273994315050388</c:v>
                </c:pt>
                <c:pt idx="209">
                  <c:v>6.998824234743009</c:v>
                </c:pt>
                <c:pt idx="210">
                  <c:v>8.625624490910921</c:v>
                </c:pt>
                <c:pt idx="211">
                  <c:v>8.1162728159813042</c:v>
                </c:pt>
                <c:pt idx="212">
                  <c:v>7.8079156893345418</c:v>
                </c:pt>
                <c:pt idx="213">
                  <c:v>8.435284271412117</c:v>
                </c:pt>
                <c:pt idx="214">
                  <c:v>15.573224053988007</c:v>
                </c:pt>
                <c:pt idx="215">
                  <c:v>9.5830574096127954</c:v>
                </c:pt>
                <c:pt idx="216">
                  <c:v>6.38470545008136</c:v>
                </c:pt>
                <c:pt idx="217">
                  <c:v>7.3033191747862301</c:v>
                </c:pt>
                <c:pt idx="218">
                  <c:v>8.91993031927103</c:v>
                </c:pt>
                <c:pt idx="219">
                  <c:v>10.985069365017425</c:v>
                </c:pt>
                <c:pt idx="220">
                  <c:v>8.0562974197798276</c:v>
                </c:pt>
                <c:pt idx="221">
                  <c:v>8.0031783186139016</c:v>
                </c:pt>
                <c:pt idx="222">
                  <c:v>9.5006751093900768</c:v>
                </c:pt>
                <c:pt idx="223">
                  <c:v>5.0502518336059996</c:v>
                </c:pt>
                <c:pt idx="224">
                  <c:v>7.9533254396689594</c:v>
                </c:pt>
                <c:pt idx="225">
                  <c:v>8.3099243552673858</c:v>
                </c:pt>
                <c:pt idx="226">
                  <c:v>6.1245242206899109</c:v>
                </c:pt>
                <c:pt idx="227">
                  <c:v>9.8811192060131638</c:v>
                </c:pt>
                <c:pt idx="228">
                  <c:v>#N/A</c:v>
                </c:pt>
                <c:pt idx="229">
                  <c:v>7.6130848816868131</c:v>
                </c:pt>
                <c:pt idx="230">
                  <c:v>6.8102520712575334</c:v>
                </c:pt>
                <c:pt idx="231">
                  <c:v>6.8692784293708717</c:v>
                </c:pt>
                <c:pt idx="232">
                  <c:v>11.944691135662689</c:v>
                </c:pt>
                <c:pt idx="233">
                  <c:v>8.3397573911673586</c:v>
                </c:pt>
                <c:pt idx="234">
                  <c:v>13.55824765582868</c:v>
                </c:pt>
                <c:pt idx="235">
                  <c:v>5.3252422518618783</c:v>
                </c:pt>
                <c:pt idx="236">
                  <c:v>10.658271838963735</c:v>
                </c:pt>
                <c:pt idx="237">
                  <c:v>8.8999834746462945</c:v>
                </c:pt>
                <c:pt idx="238">
                  <c:v>8.8650651624016792</c:v>
                </c:pt>
                <c:pt idx="239">
                  <c:v>9.4293969793787689</c:v>
                </c:pt>
                <c:pt idx="240">
                  <c:v>9.6575009318497056</c:v>
                </c:pt>
                <c:pt idx="241">
                  <c:v>12.109101121078385</c:v>
                </c:pt>
                <c:pt idx="242">
                  <c:v>8.8692362136748155</c:v>
                </c:pt>
                <c:pt idx="243">
                  <c:v>6.4762341384133562</c:v>
                </c:pt>
                <c:pt idx="244">
                  <c:v>11.768219305257297</c:v>
                </c:pt>
                <c:pt idx="245">
                  <c:v>9.1198142694241859</c:v>
                </c:pt>
                <c:pt idx="246">
                  <c:v>7.800464431672796</c:v>
                </c:pt>
                <c:pt idx="247">
                  <c:v>6.7750950071726566</c:v>
                </c:pt>
                <c:pt idx="248">
                  <c:v>9.1592102871835017</c:v>
                </c:pt>
                <c:pt idx="249">
                  <c:v>12.208708799849905</c:v>
                </c:pt>
                <c:pt idx="250">
                  <c:v>12.122566313863844</c:v>
                </c:pt>
                <c:pt idx="251">
                  <c:v>9.0467101712379172</c:v>
                </c:pt>
                <c:pt idx="252">
                  <c:v>7.177289982569226</c:v>
                </c:pt>
                <c:pt idx="253">
                  <c:v>10.665140680794559</c:v>
                </c:pt>
                <c:pt idx="254">
                  <c:v>7.6833497870357608</c:v>
                </c:pt>
                <c:pt idx="255">
                  <c:v>11.880482753426721</c:v>
                </c:pt>
                <c:pt idx="256">
                  <c:v>9.826241211856626</c:v>
                </c:pt>
                <c:pt idx="257">
                  <c:v>8.3669976619023547</c:v>
                </c:pt>
                <c:pt idx="258">
                  <c:v>10.414355742744476</c:v>
                </c:pt>
                <c:pt idx="259">
                  <c:v>9.2676946910369047</c:v>
                </c:pt>
              </c:numCache>
            </c:numRef>
          </c:xVal>
          <c:yVal>
            <c:numRef>
              <c:f>dashboard_data_raw!$N$2:$N$261</c:f>
              <c:numCache>
                <c:formatCode>0%</c:formatCode>
                <c:ptCount val="260"/>
                <c:pt idx="0">
                  <c:v>1.2449052984895709E-2</c:v>
                </c:pt>
                <c:pt idx="1">
                  <c:v>-2.3379073242114523E-2</c:v>
                </c:pt>
                <c:pt idx="2">
                  <c:v>6.8513861380628512E-3</c:v>
                </c:pt>
                <c:pt idx="3">
                  <c:v>7.5635788500351096E-3</c:v>
                </c:pt>
                <c:pt idx="4">
                  <c:v>1.3760643877496774E-2</c:v>
                </c:pt>
                <c:pt idx="5">
                  <c:v>9.8862717736178038E-3</c:v>
                </c:pt>
                <c:pt idx="6">
                  <c:v>9.4800488428409234E-3</c:v>
                </c:pt>
                <c:pt idx="7">
                  <c:v>1.3017145488148335E-2</c:v>
                </c:pt>
                <c:pt idx="8">
                  <c:v>7.8760807414098959E-3</c:v>
                </c:pt>
                <c:pt idx="9">
                  <c:v>4.0183490672949362E-3</c:v>
                </c:pt>
                <c:pt idx="10">
                  <c:v>9.3424926848683729E-3</c:v>
                </c:pt>
                <c:pt idx="11">
                  <c:v>1.08625106314841E-2</c:v>
                </c:pt>
                <c:pt idx="12">
                  <c:v>1.5184791546301901E-2</c:v>
                </c:pt>
                <c:pt idx="13">
                  <c:v>8.5586988243217307E-3</c:v>
                </c:pt>
                <c:pt idx="14">
                  <c:v>9.1700283147937295E-3</c:v>
                </c:pt>
                <c:pt idx="15">
                  <c:v>4.3491935407010173E-3</c:v>
                </c:pt>
                <c:pt idx="16">
                  <c:v>1.2560888724701163E-2</c:v>
                </c:pt>
                <c:pt idx="17">
                  <c:v>9.6929955419805865E-3</c:v>
                </c:pt>
                <c:pt idx="18">
                  <c:v>1.9534141517104128E-2</c:v>
                </c:pt>
                <c:pt idx="19">
                  <c:v>1.1446106591687211E-2</c:v>
                </c:pt>
                <c:pt idx="20">
                  <c:v>-1.3151312783033728E-2</c:v>
                </c:pt>
                <c:pt idx="21">
                  <c:v>1.2761906467198462E-2</c:v>
                </c:pt>
                <c:pt idx="22">
                  <c:v>1.8647523786005264E-2</c:v>
                </c:pt>
                <c:pt idx="23">
                  <c:v>7.4787651529831583E-3</c:v>
                </c:pt>
                <c:pt idx="24">
                  <c:v>2.1717869688640751E-3</c:v>
                </c:pt>
                <c:pt idx="25">
                  <c:v>1.2676905644012099E-2</c:v>
                </c:pt>
                <c:pt idx="26">
                  <c:v>#N/A</c:v>
                </c:pt>
                <c:pt idx="27">
                  <c:v>7.8821219366548029E-3</c:v>
                </c:pt>
                <c:pt idx="28">
                  <c:v>9.1029131208334221E-3</c:v>
                </c:pt>
                <c:pt idx="29">
                  <c:v>3.1421310765491614E-3</c:v>
                </c:pt>
                <c:pt idx="30">
                  <c:v>1.1229698146958456E-2</c:v>
                </c:pt>
                <c:pt idx="31">
                  <c:v>1.5648025834622169E-2</c:v>
                </c:pt>
                <c:pt idx="32">
                  <c:v>-1.3033937868513451E-2</c:v>
                </c:pt>
                <c:pt idx="33">
                  <c:v>0</c:v>
                </c:pt>
                <c:pt idx="34">
                  <c:v>1.5180901855715341E-2</c:v>
                </c:pt>
                <c:pt idx="35">
                  <c:v>5.3787471411223167E-3</c:v>
                </c:pt>
                <c:pt idx="36">
                  <c:v>9.0419793689391157E-3</c:v>
                </c:pt>
                <c:pt idx="37">
                  <c:v>3.8601938488650191E-3</c:v>
                </c:pt>
                <c:pt idx="38">
                  <c:v>8.9169327895825025E-3</c:v>
                </c:pt>
                <c:pt idx="39">
                  <c:v>5.5108069487430872E-4</c:v>
                </c:pt>
                <c:pt idx="40">
                  <c:v>9.843685037326376E-3</c:v>
                </c:pt>
                <c:pt idx="41">
                  <c:v>1.3050106014953688E-2</c:v>
                </c:pt>
                <c:pt idx="42">
                  <c:v>1.1933834633572671E-2</c:v>
                </c:pt>
                <c:pt idx="43">
                  <c:v>9.8574925410102269E-3</c:v>
                </c:pt>
                <c:pt idx="44">
                  <c:v>1.6450472837959196E-2</c:v>
                </c:pt>
                <c:pt idx="45">
                  <c:v>9.4922912105827005E-3</c:v>
                </c:pt>
                <c:pt idx="46">
                  <c:v>2.1933246419914038E-2</c:v>
                </c:pt>
                <c:pt idx="47">
                  <c:v>1.447825393154072E-2</c:v>
                </c:pt>
                <c:pt idx="48">
                  <c:v>9.5489844432032744E-3</c:v>
                </c:pt>
                <c:pt idx="49">
                  <c:v>1.1057440776972349E-2</c:v>
                </c:pt>
                <c:pt idx="50">
                  <c:v>0</c:v>
                </c:pt>
                <c:pt idx="51">
                  <c:v>3.5658852452122741E-3</c:v>
                </c:pt>
                <c:pt idx="52">
                  <c:v>1.0656635734320193E-2</c:v>
                </c:pt>
                <c:pt idx="53">
                  <c:v>1.0194161056678213E-2</c:v>
                </c:pt>
                <c:pt idx="54">
                  <c:v>1.1932631404463401E-2</c:v>
                </c:pt>
                <c:pt idx="55">
                  <c:v>1.1117169234181368E-2</c:v>
                </c:pt>
                <c:pt idx="56">
                  <c:v>5.1888446767147135E-3</c:v>
                </c:pt>
                <c:pt idx="57">
                  <c:v>8.2845255868146585E-3</c:v>
                </c:pt>
                <c:pt idx="58">
                  <c:v>1.079170687761046E-2</c:v>
                </c:pt>
                <c:pt idx="59">
                  <c:v>1.0912333043193119E-2</c:v>
                </c:pt>
                <c:pt idx="60">
                  <c:v>0</c:v>
                </c:pt>
                <c:pt idx="61">
                  <c:v>6.3883174687244292E-3</c:v>
                </c:pt>
                <c:pt idx="62">
                  <c:v>8.1443338218504108E-3</c:v>
                </c:pt>
                <c:pt idx="63">
                  <c:v>7.3924255182961224E-3</c:v>
                </c:pt>
                <c:pt idx="64">
                  <c:v>1.0336990692608544E-2</c:v>
                </c:pt>
                <c:pt idx="65">
                  <c:v>0</c:v>
                </c:pt>
                <c:pt idx="66">
                  <c:v>8.674128777871928E-3</c:v>
                </c:pt>
                <c:pt idx="67">
                  <c:v>1.1675158903634629E-2</c:v>
                </c:pt>
                <c:pt idx="68">
                  <c:v>1.5394732293189143E-2</c:v>
                </c:pt>
                <c:pt idx="69">
                  <c:v>-1.3549356668414367E-3</c:v>
                </c:pt>
                <c:pt idx="70">
                  <c:v>9.0425122317223036E-3</c:v>
                </c:pt>
                <c:pt idx="71">
                  <c:v>1.6232567651740394E-2</c:v>
                </c:pt>
                <c:pt idx="72">
                  <c:v>8.6831488011826479E-3</c:v>
                </c:pt>
                <c:pt idx="73">
                  <c:v>0</c:v>
                </c:pt>
                <c:pt idx="74">
                  <c:v>1.1876844432261946E-2</c:v>
                </c:pt>
                <c:pt idx="75">
                  <c:v>-9.1362428286576088E-3</c:v>
                </c:pt>
                <c:pt idx="76">
                  <c:v>1.5853221958695107E-2</c:v>
                </c:pt>
                <c:pt idx="77">
                  <c:v>1.1412435541663327E-2</c:v>
                </c:pt>
                <c:pt idx="78">
                  <c:v>1.3005758458412911E-2</c:v>
                </c:pt>
                <c:pt idx="79">
                  <c:v>3.3343632721768903E-3</c:v>
                </c:pt>
                <c:pt idx="80">
                  <c:v>1.0405519008286519E-2</c:v>
                </c:pt>
                <c:pt idx="81">
                  <c:v>1.4969123919398536E-2</c:v>
                </c:pt>
                <c:pt idx="82">
                  <c:v>7.0429322145665971E-3</c:v>
                </c:pt>
                <c:pt idx="83">
                  <c:v>0</c:v>
                </c:pt>
                <c:pt idx="84">
                  <c:v>1.6793098358877514E-2</c:v>
                </c:pt>
                <c:pt idx="85">
                  <c:v>1.0317886404176423E-2</c:v>
                </c:pt>
                <c:pt idx="86">
                  <c:v>8.9180423146507683E-3</c:v>
                </c:pt>
                <c:pt idx="87">
                  <c:v>7.0561841829934798E-3</c:v>
                </c:pt>
                <c:pt idx="88">
                  <c:v>1.0261064358903633E-2</c:v>
                </c:pt>
                <c:pt idx="89">
                  <c:v>8.0845788705309618E-3</c:v>
                </c:pt>
                <c:pt idx="90">
                  <c:v>-7.6092282079650757E-3</c:v>
                </c:pt>
                <c:pt idx="91">
                  <c:v>1.2249256361424972E-2</c:v>
                </c:pt>
                <c:pt idx="92">
                  <c:v>8.4501175464314592E-3</c:v>
                </c:pt>
                <c:pt idx="93">
                  <c:v>8.6865510815131476E-3</c:v>
                </c:pt>
                <c:pt idx="94">
                  <c:v>1.181988576038151E-2</c:v>
                </c:pt>
                <c:pt idx="95">
                  <c:v>1.8144098451235356E-2</c:v>
                </c:pt>
                <c:pt idx="96">
                  <c:v>7.6069975269066224E-3</c:v>
                </c:pt>
                <c:pt idx="97">
                  <c:v>-1.9080759416711959E-2</c:v>
                </c:pt>
                <c:pt idx="98">
                  <c:v>8.5622737308088323E-3</c:v>
                </c:pt>
                <c:pt idx="99">
                  <c:v>1.0476034857415148E-2</c:v>
                </c:pt>
                <c:pt idx="100">
                  <c:v>1.1889103515539802E-2</c:v>
                </c:pt>
                <c:pt idx="101">
                  <c:v>9.3330909953288372E-3</c:v>
                </c:pt>
                <c:pt idx="102">
                  <c:v>#N/A</c:v>
                </c:pt>
                <c:pt idx="103">
                  <c:v>9.3496779555370876E-3</c:v>
                </c:pt>
                <c:pt idx="104">
                  <c:v>3.1679409288534613E-3</c:v>
                </c:pt>
                <c:pt idx="105">
                  <c:v>8.2970536005621803E-3</c:v>
                </c:pt>
                <c:pt idx="106">
                  <c:v>#N/A</c:v>
                </c:pt>
                <c:pt idx="107">
                  <c:v>1.0342742913413671E-2</c:v>
                </c:pt>
                <c:pt idx="108">
                  <c:v>1.1477556947901042E-2</c:v>
                </c:pt>
                <c:pt idx="109">
                  <c:v>1.4588827110986413E-2</c:v>
                </c:pt>
                <c:pt idx="110">
                  <c:v>5.5729484712580277E-3</c:v>
                </c:pt>
                <c:pt idx="111">
                  <c:v>1.1561364009005946E-2</c:v>
                </c:pt>
                <c:pt idx="112">
                  <c:v>7.5873894197823512E-3</c:v>
                </c:pt>
                <c:pt idx="113">
                  <c:v>1.8834493752836478E-2</c:v>
                </c:pt>
                <c:pt idx="114">
                  <c:v>-1.7640345223794048E-2</c:v>
                </c:pt>
                <c:pt idx="115">
                  <c:v>1.1649985782669897E-2</c:v>
                </c:pt>
                <c:pt idx="116">
                  <c:v>1.3178411017774094E-2</c:v>
                </c:pt>
                <c:pt idx="117">
                  <c:v>8.1739346915065767E-3</c:v>
                </c:pt>
                <c:pt idx="118">
                  <c:v>9.6223981963620125E-3</c:v>
                </c:pt>
                <c:pt idx="119">
                  <c:v>1.1542030664824078E-2</c:v>
                </c:pt>
                <c:pt idx="120">
                  <c:v>9.6727599834882001E-3</c:v>
                </c:pt>
                <c:pt idx="121">
                  <c:v>9.2266693192714442E-3</c:v>
                </c:pt>
                <c:pt idx="122">
                  <c:v>1.4372116433185136E-2</c:v>
                </c:pt>
                <c:pt idx="123">
                  <c:v>8.5230455172629147E-3</c:v>
                </c:pt>
                <c:pt idx="124">
                  <c:v>1.5634010729446673E-2</c:v>
                </c:pt>
                <c:pt idx="125">
                  <c:v>1.1775527754966382E-2</c:v>
                </c:pt>
                <c:pt idx="126">
                  <c:v>6.4638302099662773E-3</c:v>
                </c:pt>
                <c:pt idx="127">
                  <c:v>1.6467530075168733E-2</c:v>
                </c:pt>
                <c:pt idx="128">
                  <c:v>1.1123009920640388E-2</c:v>
                </c:pt>
                <c:pt idx="129">
                  <c:v>-1.1683703485806737E-2</c:v>
                </c:pt>
                <c:pt idx="130">
                  <c:v>1.1100362756952841E-2</c:v>
                </c:pt>
                <c:pt idx="131">
                  <c:v>1.0503312685846627E-2</c:v>
                </c:pt>
                <c:pt idx="132">
                  <c:v>1.7203386568391172E-2</c:v>
                </c:pt>
                <c:pt idx="133">
                  <c:v>0</c:v>
                </c:pt>
                <c:pt idx="134">
                  <c:v>1.1764376609321938E-2</c:v>
                </c:pt>
                <c:pt idx="135">
                  <c:v>1.0933855231134767E-2</c:v>
                </c:pt>
                <c:pt idx="136">
                  <c:v>1.3353004543112735E-2</c:v>
                </c:pt>
                <c:pt idx="137">
                  <c:v>1.1707759072917164E-2</c:v>
                </c:pt>
                <c:pt idx="138">
                  <c:v>1.1248481952656831E-2</c:v>
                </c:pt>
                <c:pt idx="139">
                  <c:v>1.2227367802191736E-2</c:v>
                </c:pt>
                <c:pt idx="140">
                  <c:v>4.3468944194446999E-3</c:v>
                </c:pt>
                <c:pt idx="141">
                  <c:v>8.5166652851520596E-3</c:v>
                </c:pt>
                <c:pt idx="142">
                  <c:v>9.8220393947740167E-3</c:v>
                </c:pt>
                <c:pt idx="143">
                  <c:v>8.9423631005663383E-3</c:v>
                </c:pt>
                <c:pt idx="144">
                  <c:v>9.9309746531628749E-3</c:v>
                </c:pt>
                <c:pt idx="145">
                  <c:v>9.8056428880720498E-3</c:v>
                </c:pt>
                <c:pt idx="146">
                  <c:v>6.385940490690795E-3</c:v>
                </c:pt>
                <c:pt idx="147">
                  <c:v>0</c:v>
                </c:pt>
                <c:pt idx="148">
                  <c:v>8.0454149330550454E-3</c:v>
                </c:pt>
                <c:pt idx="149">
                  <c:v>1.0757153963121749E-2</c:v>
                </c:pt>
                <c:pt idx="150">
                  <c:v>1.0102258680750646E-2</c:v>
                </c:pt>
                <c:pt idx="151">
                  <c:v>7.4710838092309105E-3</c:v>
                </c:pt>
                <c:pt idx="152">
                  <c:v>1.1065501993340677E-2</c:v>
                </c:pt>
                <c:pt idx="153">
                  <c:v>1.4978769168159229E-2</c:v>
                </c:pt>
                <c:pt idx="154">
                  <c:v>1.2376015099882785E-2</c:v>
                </c:pt>
                <c:pt idx="155">
                  <c:v>1.2192668377005082E-2</c:v>
                </c:pt>
                <c:pt idx="156">
                  <c:v>1.0457211474157744E-2</c:v>
                </c:pt>
                <c:pt idx="157">
                  <c:v>8.1295752349790189E-3</c:v>
                </c:pt>
                <c:pt idx="158">
                  <c:v>9.275658416907747E-3</c:v>
                </c:pt>
                <c:pt idx="159">
                  <c:v>1.209713735552758E-2</c:v>
                </c:pt>
                <c:pt idx="160">
                  <c:v>1.1879095937519596E-2</c:v>
                </c:pt>
                <c:pt idx="161">
                  <c:v>1.2339103604656098E-2</c:v>
                </c:pt>
                <c:pt idx="162">
                  <c:v>0</c:v>
                </c:pt>
                <c:pt idx="163">
                  <c:v>9.3241476952679002E-3</c:v>
                </c:pt>
                <c:pt idx="164">
                  <c:v>1.3426863024182301E-2</c:v>
                </c:pt>
                <c:pt idx="165">
                  <c:v>6.7761621380482669E-3</c:v>
                </c:pt>
                <c:pt idx="166">
                  <c:v>1.359844716532705E-2</c:v>
                </c:pt>
                <c:pt idx="167">
                  <c:v>1.478693486229371E-2</c:v>
                </c:pt>
                <c:pt idx="168">
                  <c:v>1.4035635744277224E-2</c:v>
                </c:pt>
                <c:pt idx="169">
                  <c:v>1.941158146259055E-2</c:v>
                </c:pt>
                <c:pt idx="170">
                  <c:v>7.8898239634752065E-3</c:v>
                </c:pt>
                <c:pt idx="171">
                  <c:v>8.089206586231119E-3</c:v>
                </c:pt>
                <c:pt idx="172">
                  <c:v>8.2335670650252792E-3</c:v>
                </c:pt>
                <c:pt idx="173">
                  <c:v>9.6039147053957798E-3</c:v>
                </c:pt>
                <c:pt idx="174">
                  <c:v>1.1927659200479942E-2</c:v>
                </c:pt>
                <c:pt idx="175">
                  <c:v>1.8365401453317807E-2</c:v>
                </c:pt>
                <c:pt idx="176">
                  <c:v>8.7657900534553104E-3</c:v>
                </c:pt>
                <c:pt idx="177">
                  <c:v>9.9965777314129645E-3</c:v>
                </c:pt>
                <c:pt idx="178">
                  <c:v>1.348165409563145E-2</c:v>
                </c:pt>
                <c:pt idx="179">
                  <c:v>5.3838586603502485E-3</c:v>
                </c:pt>
                <c:pt idx="180">
                  <c:v>7.2144871689326902E-3</c:v>
                </c:pt>
                <c:pt idx="181">
                  <c:v>1.171660984923018E-2</c:v>
                </c:pt>
                <c:pt idx="182">
                  <c:v>1.1339834688407919E-2</c:v>
                </c:pt>
                <c:pt idx="183">
                  <c:v>7.4747491741447881E-3</c:v>
                </c:pt>
                <c:pt idx="184">
                  <c:v>1.1064656404600979E-2</c:v>
                </c:pt>
                <c:pt idx="185">
                  <c:v>7.2824134378147633E-3</c:v>
                </c:pt>
                <c:pt idx="186">
                  <c:v>8.22959061527412E-3</c:v>
                </c:pt>
                <c:pt idx="187">
                  <c:v>3.6666173399759945E-3</c:v>
                </c:pt>
                <c:pt idx="188">
                  <c:v>1.1946690107327114E-2</c:v>
                </c:pt>
                <c:pt idx="189">
                  <c:v>4.8734176824083136E-3</c:v>
                </c:pt>
                <c:pt idx="190">
                  <c:v>1.858168206151448E-2</c:v>
                </c:pt>
                <c:pt idx="191">
                  <c:v>1.158026857984939E-2</c:v>
                </c:pt>
                <c:pt idx="192">
                  <c:v>1.1639520847605243E-2</c:v>
                </c:pt>
                <c:pt idx="193">
                  <c:v>1.6453444852525624E-2</c:v>
                </c:pt>
                <c:pt idx="194">
                  <c:v>9.507545993508679E-3</c:v>
                </c:pt>
                <c:pt idx="195">
                  <c:v>1.8024771163711165E-2</c:v>
                </c:pt>
                <c:pt idx="196">
                  <c:v>1.6475266357006267E-2</c:v>
                </c:pt>
                <c:pt idx="197">
                  <c:v>1.0470549494909271E-2</c:v>
                </c:pt>
                <c:pt idx="198">
                  <c:v>1.0450682404802425E-2</c:v>
                </c:pt>
                <c:pt idx="199">
                  <c:v>1.1885383323988728E-2</c:v>
                </c:pt>
                <c:pt idx="200">
                  <c:v>8.6119726017707E-3</c:v>
                </c:pt>
                <c:pt idx="201">
                  <c:v>1.1086538214429316E-2</c:v>
                </c:pt>
                <c:pt idx="202">
                  <c:v>8.5237623363187218E-3</c:v>
                </c:pt>
                <c:pt idx="203">
                  <c:v>1.163461991184577E-2</c:v>
                </c:pt>
                <c:pt idx="204">
                  <c:v>2.4872385844036091E-2</c:v>
                </c:pt>
                <c:pt idx="205">
                  <c:v>1.105351686309616E-2</c:v>
                </c:pt>
                <c:pt idx="206">
                  <c:v>1.3283316641376349E-2</c:v>
                </c:pt>
                <c:pt idx="207">
                  <c:v>1.1532585839631326E-2</c:v>
                </c:pt>
                <c:pt idx="208">
                  <c:v>1.1248426199819703E-2</c:v>
                </c:pt>
                <c:pt idx="209">
                  <c:v>1.5866509694092115E-2</c:v>
                </c:pt>
                <c:pt idx="210">
                  <c:v>1.2162711659096626E-2</c:v>
                </c:pt>
                <c:pt idx="211">
                  <c:v>3.3233996844097761E-3</c:v>
                </c:pt>
                <c:pt idx="212">
                  <c:v>1.4670253666216946E-2</c:v>
                </c:pt>
                <c:pt idx="213">
                  <c:v>1.0580413864952945E-2</c:v>
                </c:pt>
                <c:pt idx="214">
                  <c:v>7.8604736949344362E-3</c:v>
                </c:pt>
                <c:pt idx="215">
                  <c:v>1.5603318969334678E-2</c:v>
                </c:pt>
                <c:pt idx="216">
                  <c:v>1.9491525423728815E-2</c:v>
                </c:pt>
                <c:pt idx="217">
                  <c:v>1.6405470290112027E-2</c:v>
                </c:pt>
                <c:pt idx="218">
                  <c:v>1.1843196886946201E-2</c:v>
                </c:pt>
                <c:pt idx="219">
                  <c:v>1.232738681889038E-2</c:v>
                </c:pt>
                <c:pt idx="220">
                  <c:v>1.6416624736930289E-2</c:v>
                </c:pt>
                <c:pt idx="221">
                  <c:v>1.6214821415586729E-2</c:v>
                </c:pt>
                <c:pt idx="222">
                  <c:v>9.6095046808845966E-3</c:v>
                </c:pt>
                <c:pt idx="223">
                  <c:v>1.4113225746277144E-2</c:v>
                </c:pt>
                <c:pt idx="224">
                  <c:v>1.3702710829227225E-2</c:v>
                </c:pt>
                <c:pt idx="225">
                  <c:v>1.1516623407205381E-2</c:v>
                </c:pt>
                <c:pt idx="226">
                  <c:v>1.3802707113467056E-2</c:v>
                </c:pt>
                <c:pt idx="227">
                  <c:v>9.6692351240948073E-3</c:v>
                </c:pt>
                <c:pt idx="228">
                  <c:v>1.287626578596608E-2</c:v>
                </c:pt>
                <c:pt idx="229">
                  <c:v>1.3473051410821207E-2</c:v>
                </c:pt>
                <c:pt idx="230">
                  <c:v>1.338988400910137E-2</c:v>
                </c:pt>
                <c:pt idx="231">
                  <c:v>8.0553985251404937E-3</c:v>
                </c:pt>
                <c:pt idx="232">
                  <c:v>6.895887674651084E-3</c:v>
                </c:pt>
                <c:pt idx="233">
                  <c:v>1.3575629352575969E-2</c:v>
                </c:pt>
                <c:pt idx="234">
                  <c:v>2.4401478760856143E-2</c:v>
                </c:pt>
                <c:pt idx="235">
                  <c:v>2.0778057606195714E-2</c:v>
                </c:pt>
                <c:pt idx="236">
                  <c:v>1.1748888418378149E-2</c:v>
                </c:pt>
                <c:pt idx="237">
                  <c:v>5.7448206417333803E-3</c:v>
                </c:pt>
                <c:pt idx="238">
                  <c:v>1.4696746812436583E-2</c:v>
                </c:pt>
                <c:pt idx="239">
                  <c:v>1.2984660769464739E-2</c:v>
                </c:pt>
                <c:pt idx="240">
                  <c:v>9.9111303176652992E-3</c:v>
                </c:pt>
                <c:pt idx="241">
                  <c:v>6.9952132763361312E-3</c:v>
                </c:pt>
                <c:pt idx="242">
                  <c:v>7.5157081479227447E-3</c:v>
                </c:pt>
                <c:pt idx="243">
                  <c:v>9.5193730790663553E-3</c:v>
                </c:pt>
                <c:pt idx="244">
                  <c:v>9.0010117341560447E-3</c:v>
                </c:pt>
                <c:pt idx="245">
                  <c:v>1.4975559469558631E-2</c:v>
                </c:pt>
                <c:pt idx="246">
                  <c:v>7.732560375504822E-3</c:v>
                </c:pt>
                <c:pt idx="247">
                  <c:v>3.9743985977467909E-3</c:v>
                </c:pt>
                <c:pt idx="248">
                  <c:v>1.069553022980642E-2</c:v>
                </c:pt>
                <c:pt idx="249">
                  <c:v>1.2892494745643969E-2</c:v>
                </c:pt>
                <c:pt idx="250">
                  <c:v>1.044473667191239E-2</c:v>
                </c:pt>
                <c:pt idx="251">
                  <c:v>9.9196771901660149E-3</c:v>
                </c:pt>
                <c:pt idx="252">
                  <c:v>-1.6199624813734246E-2</c:v>
                </c:pt>
                <c:pt idx="253">
                  <c:v>1.2956425014316927E-2</c:v>
                </c:pt>
                <c:pt idx="254">
                  <c:v>6.95114188523347E-3</c:v>
                </c:pt>
                <c:pt idx="255">
                  <c:v>4.1800568688052323E-3</c:v>
                </c:pt>
                <c:pt idx="256">
                  <c:v>6.5801675881807633E-3</c:v>
                </c:pt>
                <c:pt idx="257">
                  <c:v>7.5226873236381286E-3</c:v>
                </c:pt>
                <c:pt idx="258">
                  <c:v>5.3612461386488191E-3</c:v>
                </c:pt>
                <c:pt idx="259">
                  <c:v>1.4810193032722414E-2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E-4CFD-B851-710E2BD87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956111"/>
        <c:axId val="1048298976"/>
      </c:scatterChart>
      <c:valAx>
        <c:axId val="107895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98976"/>
        <c:crosses val="autoZero"/>
        <c:crossBetween val="midCat"/>
      </c:valAx>
      <c:valAx>
        <c:axId val="10482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5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by Net Income</a:t>
            </a:r>
            <a:r>
              <a:rPr lang="en-US" baseline="0"/>
              <a:t>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dashboard_data_raw!$R$2:$R$16</c:f>
              <c:strCache>
                <c:ptCount val="15"/>
                <c:pt idx="0">
                  <c:v>JPMORGAN CHASE &amp; CO</c:v>
                </c:pt>
                <c:pt idx="1">
                  <c:v>BANK OF AMERICA CORP /DE/</c:v>
                </c:pt>
                <c:pt idx="2">
                  <c:v>WELLS FARGO &amp; COMPANY/MN</c:v>
                </c:pt>
                <c:pt idx="3">
                  <c:v>CITIGROUP INC</c:v>
                </c:pt>
                <c:pt idx="4">
                  <c:v>US BANCORP DE</c:v>
                </c:pt>
                <c:pt idx="5">
                  <c:v>BANK OF NEW YORK MELLON CORP</c:v>
                </c:pt>
                <c:pt idx="6">
                  <c:v>STATE STREET CORP</c:v>
                </c:pt>
                <c:pt idx="7">
                  <c:v>M&amp;T BANK CORP</c:v>
                </c:pt>
                <c:pt idx="8">
                  <c:v>FIFTH THIRD BANCORP</c:v>
                </c:pt>
                <c:pt idx="9">
                  <c:v>CAPITAL ONE FINANCIAL CORP</c:v>
                </c:pt>
                <c:pt idx="10">
                  <c:v>HUNTINGTON BANCSHARES INC /MD/</c:v>
                </c:pt>
                <c:pt idx="11">
                  <c:v>FIRST CITIZENS BANCSHARES INC /DE/</c:v>
                </c:pt>
                <c:pt idx="12">
                  <c:v>REGIONS FINANCIAL CORP</c:v>
                </c:pt>
                <c:pt idx="13">
                  <c:v>CITIZENS FINANCIAL GROUP INC/RI</c:v>
                </c:pt>
                <c:pt idx="14">
                  <c:v>KEYCORP /NEW/</c:v>
                </c:pt>
              </c:strCache>
            </c:strRef>
          </c:cat>
          <c:val>
            <c:numRef>
              <c:f>dashboard_data_raw!$S$2:$S$16</c:f>
              <c:numCache>
                <c:formatCode>General</c:formatCode>
                <c:ptCount val="15"/>
                <c:pt idx="0">
                  <c:v>57048000000</c:v>
                </c:pt>
                <c:pt idx="1">
                  <c:v>30509000000</c:v>
                </c:pt>
                <c:pt idx="2">
                  <c:v>21338000000</c:v>
                </c:pt>
                <c:pt idx="3">
                  <c:v>14306000000</c:v>
                </c:pt>
                <c:pt idx="4">
                  <c:v>7570000000</c:v>
                </c:pt>
                <c:pt idx="5">
                  <c:v>5549000000</c:v>
                </c:pt>
                <c:pt idx="6">
                  <c:v>2945000000</c:v>
                </c:pt>
                <c:pt idx="7">
                  <c:v>2851000000</c:v>
                </c:pt>
                <c:pt idx="8">
                  <c:v>2522000000</c:v>
                </c:pt>
                <c:pt idx="9">
                  <c:v>2453000000</c:v>
                </c:pt>
                <c:pt idx="10">
                  <c:v>2211000000</c:v>
                </c:pt>
                <c:pt idx="11">
                  <c:v>2206000000</c:v>
                </c:pt>
                <c:pt idx="12">
                  <c:v>2156000000</c:v>
                </c:pt>
                <c:pt idx="13">
                  <c:v>1831000000</c:v>
                </c:pt>
                <c:pt idx="14">
                  <c:v>1829000000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7-4DD4-A0C9-DC4636E16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659039"/>
        <c:axId val="1048283616"/>
      </c:barChart>
      <c:catAx>
        <c:axId val="180765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83616"/>
        <c:crosses val="autoZero"/>
        <c:auto val="1"/>
        <c:lblAlgn val="ctr"/>
        <c:lblOffset val="100"/>
        <c:noMultiLvlLbl val="0"/>
      </c:catAx>
      <c:valAx>
        <c:axId val="10482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5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6</xdr:row>
      <xdr:rowOff>85724</xdr:rowOff>
    </xdr:from>
    <xdr:to>
      <xdr:col>9</xdr:col>
      <xdr:colOff>600075</xdr:colOff>
      <xdr:row>19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12FCA-CB25-42A1-AB0A-07622A56C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9</xdr:row>
      <xdr:rowOff>0</xdr:rowOff>
    </xdr:from>
    <xdr:to>
      <xdr:col>4</xdr:col>
      <xdr:colOff>400050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A28703-C557-4910-A626-1302021F8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45827</xdr:colOff>
      <xdr:row>17</xdr:row>
      <xdr:rowOff>39177</xdr:rowOff>
    </xdr:from>
    <xdr:to>
      <xdr:col>19</xdr:col>
      <xdr:colOff>97945</xdr:colOff>
      <xdr:row>31</xdr:row>
      <xdr:rowOff>140537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CBC3E-F9E5-58D1-29FD-E93C4DB7F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189602</xdr:colOff>
      <xdr:row>33</xdr:row>
      <xdr:rowOff>30194</xdr:rowOff>
    </xdr:from>
    <xdr:to>
      <xdr:col>19</xdr:col>
      <xdr:colOff>241720</xdr:colOff>
      <xdr:row>47</xdr:row>
      <xdr:rowOff>131554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9A5FC-AC87-25ED-B71C-7C676F81C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Cellucci" refreshedDate="46226.670717592591" createdVersion="8" refreshedVersion="8" minRefreshableVersion="3" recordCount="1519" xr:uid="{CD4BAC1A-2AE4-45AA-ACFA-BCBF6F2DE597}">
  <cacheSource type="worksheet">
    <worksheetSource name="financials"/>
  </cacheSource>
  <cacheFields count="9">
    <cacheField name="adsh" numFmtId="0">
      <sharedItems count="258">
        <s v="0000007789-26-000071"/>
        <s v="0000022356-26-000069"/>
        <s v="0000034782-26-000011"/>
        <s v="0000035527-26-000124"/>
        <s v="0000036104-26-000011"/>
        <s v="0000036270-26-000010"/>
        <s v="0000036966-26-000051"/>
        <s v="0000037808-26-000007"/>
        <s v="0000039263-26-000011"/>
        <s v="0000039311-26-000009"/>
        <s v="0000040729-26-000005"/>
        <s v="0000046195-26-000015"/>
        <s v="0000049196-26-000015"/>
        <s v="0000072971-26-000133"/>
        <s v="0000083246-26-000005"/>
        <s v="0000070858-26-000157"/>
        <s v="0000073124-26-000016"/>
        <s v="0000092230-26-000030"/>
        <s v="0000102212-26-000012"/>
        <s v="0000109380-26-000046"/>
        <s v="0000093751-26-000124"/>
        <s v="0000318300-26-000099"/>
        <s v="0000700564-26-000006"/>
        <s v="0000701347-26-000021"/>
        <s v="0000314489-26-000013"/>
        <s v="0000706129-26-000024"/>
        <s v="0000713676-26-000020"/>
        <s v="0000714310-26-000017"/>
        <s v="0000714395-26-000011"/>
        <s v="0000714562-26-000014"/>
        <s v="0000717538-26-000037"/>
        <s v="0000719220-26-000030"/>
        <s v="0000721994-26-000018"/>
        <s v="0000356171-26-000010"/>
        <s v="0000723646-26-000016"/>
        <s v="0000726854-26-000062"/>
        <s v="0000705432-26-000034"/>
        <s v="0000706863-26-000029"/>
        <s v="0000707179-26-000010"/>
        <s v="0000708955-26-000028"/>
        <s v="0000711669-26-000007"/>
        <s v="0000712534-26-000022"/>
        <s v="0000736772-26-000031"/>
        <s v="0000737468-26-000034"/>
        <s v="0000737875-26-000009"/>
        <s v="0000712537-26-000013"/>
        <s v="0000750686-26-000010"/>
        <s v="0000715072-26-000017"/>
        <s v="0000726601-26-000007"/>
        <s v="0000732417-26-000022"/>
        <s v="0000351569-26-000050"/>
        <s v="0000759944-26-000028"/>
        <s v="0000798941-26-000015"/>
        <s v="0000801337-26-000008"/>
        <s v="0000765207-26-000067"/>
        <s v="0000805676-26-000017"/>
        <s v="0000811589-26-000051"/>
        <s v="0000776901-26-000058"/>
        <s v="0000831001-26-000011"/>
        <s v="0000828944-26-000006"/>
        <s v="0000857855-26-000008"/>
        <s v="0000811830-26-000005"/>
        <s v="0000868671-26-000023"/>
        <s v="0000775215-26-000025"/>
        <s v="0000875357-26-000013"/>
        <s v="0000879635-26-000026"/>
        <s v="0000880641-26-000004"/>
        <s v="0000846617-26-000013"/>
        <s v="0000883948-26-000021"/>
        <s v="0000887343-26-000088"/>
        <s v="0000893847-26-000037"/>
        <s v="0000842517-26-000069"/>
        <s v="0000860413-26-000011"/>
        <s v="0000920427-26-000012"/>
        <s v="0000913341-26-000010"/>
        <s v="0001004702-26-000015"/>
        <s v="0001005817-26-000027"/>
        <s v="0001013272-26-000003"/>
        <s v="0001015328-26-000007"/>
        <s v="0001030469-26-000008"/>
        <s v="0000946673-26-000009"/>
        <s v="0001035092-26-000014"/>
        <s v="0000927628-26-000024"/>
        <s v="0001050441-26-000021"/>
        <s v="0001057706-26-000007"/>
        <s v="0001077428-26-000010"/>
        <s v="0001071236-26-000027"/>
        <s v="0001025835-26-000058"/>
        <s v="0001069157-26-000009"/>
        <s v="0001104659-26-015264"/>
        <s v="0001104659-26-017884"/>
        <s v="0001104659-26-020063"/>
        <s v="0001104659-26-020393"/>
        <s v="0001104659-26-018208"/>
        <s v="0001104659-26-019119"/>
        <s v="0001104659-26-021479"/>
        <s v="0001104659-26-021531"/>
        <s v="0001104659-26-021544"/>
        <s v="0001104659-26-021567"/>
        <s v="0001104659-26-021549"/>
        <s v="0001104659-26-021651"/>
        <s v="0001104659-26-024646"/>
        <s v="0001104659-26-024659"/>
        <s v="0001104659-26-024613"/>
        <s v="0001104659-26-027217"/>
        <s v="0001104659-26-028106"/>
        <s v="0001104659-26-027651"/>
        <s v="0001104659-26-028308"/>
        <s v="0001104659-26-028501"/>
        <s v="0001104659-26-028599"/>
        <s v="0001104659-26-028542"/>
        <s v="0001104659-26-034395"/>
        <s v="0001104659-26-030236"/>
        <s v="0001104659-26-031270"/>
        <s v="0001104659-26-036813"/>
        <s v="0001104659-26-024523"/>
        <s v="0001137547-26-000011"/>
        <s v="0001128361-26-000011"/>
        <s v="0001140361-26-007058"/>
        <s v="0001104659-26-027378"/>
        <s v="0001140361-26-009103"/>
        <s v="0001140361-26-009342"/>
        <s v="0001140361-26-009383"/>
        <s v="0001140361-26-009576"/>
        <s v="0001140361-26-009657"/>
        <s v="0001104659-26-020439"/>
        <s v="0001166928-26-000010"/>
        <s v="0001171843-26-001150"/>
        <s v="0001174850-26-000077"/>
        <s v="0001174947-26-000299"/>
        <s v="0001174947-26-000410"/>
        <s v="0001140361-26-007179"/>
        <s v="0001171843-26-001195"/>
        <s v="0001104659-26-030899"/>
        <s v="0001193125-26-064009"/>
        <s v="0001193125-26-071549"/>
        <s v="0001193125-26-075954"/>
        <s v="0001193125-26-076496"/>
        <s v="0001193125-26-077437"/>
        <s v="0001193125-26-077903"/>
        <s v="0001193125-26-082425"/>
        <s v="0001193125-26-083194"/>
        <s v="0001193125-26-083221"/>
        <s v="0001193125-26-085463"/>
        <s v="0001193125-26-080847"/>
        <s v="0001193125-26-085756"/>
        <s v="0001193125-26-081470"/>
        <s v="0001193125-26-071523"/>
        <s v="0001193125-26-093397"/>
        <s v="0001193125-26-096665"/>
        <s v="0001193125-26-098467"/>
        <s v="0001193125-26-099933"/>
        <s v="0001193125-26-082893"/>
        <s v="0001193125-26-103635"/>
        <s v="0001193125-26-104114"/>
        <s v="0001193125-26-105046"/>
        <s v="0001193125-26-107482"/>
        <s v="0001193125-26-108381"/>
        <s v="0001140361-26-008087"/>
        <s v="0001193125-26-103638"/>
        <s v="0001193125-26-104211"/>
        <s v="0001193125-26-104410"/>
        <s v="0001193125-26-098059"/>
        <s v="0001193125-26-096836"/>
        <s v="0001193125-26-111012"/>
        <s v="0001193125-26-106151"/>
        <s v="0001193125-26-129567"/>
        <s v="0001193125-26-128416"/>
        <s v="0001193125-26-132075"/>
        <s v="0001213900-26-033659"/>
        <s v="0001193125-26-128311"/>
        <s v="0001206774-26-000084"/>
        <s v="0001213900-26-024471"/>
        <s v="0001275101-26-000010"/>
        <s v="0001277902-26-000030"/>
        <s v="0001281761-26-000019"/>
        <s v="0001331520-26-000051"/>
        <s v="0001336706-26-000020"/>
        <s v="0001295401-26-000002"/>
        <s v="0001403475-26-000018"/>
        <s v="0001419536-26-000073"/>
        <s v="0001390777-26-000033"/>
        <s v="0001437749-26-005830"/>
        <s v="0001437749-26-005997"/>
        <s v="0001437749-26-006820"/>
        <s v="0001437749-26-007330"/>
        <s v="0001437749-26-007758"/>
        <s v="0001437749-26-008446"/>
        <s v="0001437749-26-009154"/>
        <s v="0001437749-26-009181"/>
        <s v="0001437749-26-009757"/>
        <s v="0001437749-26-010240"/>
        <s v="0001437749-26-005320"/>
        <s v="0001462120-26-000020"/>
        <s v="0001437749-26-007084"/>
        <s v="0001437749-26-007748"/>
        <s v="0001437749-26-007976"/>
        <s v="0001437749-26-008215"/>
        <s v="0001437749-26-008852"/>
        <s v="0001437749-26-009748"/>
        <s v="0001437958-26-000013"/>
        <s v="0001488813-26-000029"/>
        <s v="0001423869-26-000006"/>
        <s v="0001437749-26-006157"/>
        <s v="0001437749-26-007180"/>
        <s v="0001437749-26-008073"/>
        <s v="0001449794-26-000003"/>
        <s v="0001493152-26-008143"/>
        <s v="0001466026-26-000020"/>
        <s v="0001473844-26-000006"/>
        <s v="0001437749-26-007387"/>
        <s v="0001493152-26-009243"/>
        <s v="0001471265-26-000008"/>
        <s v="0001518715-26-000026"/>
        <s v="0001539638-26-000007"/>
        <s v="0001505732-26-000046"/>
        <s v="0001552781-26-000126"/>
        <s v="0001562762-26-000027"/>
        <s v="0001516912-26-000011"/>
        <s v="0001624322-26-000018"/>
        <s v="0001628280-26-008131"/>
        <s v="0001628280-26-010546"/>
        <s v="0001628280-26-010336"/>
        <s v="0001628280-26-012787"/>
        <s v="0001628280-26-012825"/>
        <s v="0001628280-26-011618"/>
        <s v="0001628280-26-012946"/>
        <s v="0001605301-26-000009"/>
        <s v="0001628280-26-012724"/>
        <s v="0001628280-26-016050"/>
        <s v="0001628280-26-017229"/>
        <s v="0001628280-26-017546"/>
        <s v="0001628280-26-016895"/>
        <s v="0001628280-26-017278"/>
        <s v="0001628280-26-020177"/>
        <s v="0001628280-26-020414"/>
        <s v="0001628280-26-022508"/>
        <s v="0001649739-26-000014"/>
        <s v="0001654954-26-002870"/>
        <s v="0001654954-26-002891"/>
        <s v="0001649749-26-000012"/>
        <s v="0001675644-26-000017"/>
        <s v="0001709442-26-000017"/>
        <s v="0001722010-26-000002"/>
        <s v="0001628280-26-021067"/>
        <s v="0001730984-26-000016"/>
        <s v="0001734342-26-000017"/>
        <s v="0001750735-26-000009"/>
        <s v="0001654954-26-002154"/>
        <s v="0001795815-26-000005"/>
        <s v="0001829576-26-000018"/>
        <s v="0001823608-26-000048"/>
        <s v="0001856365-26-000006"/>
        <s v="0001747068-26-000010"/>
        <s v="0001903596-26-000116"/>
        <s v="0001964333-26-000016"/>
        <s v="0002082866-26-000018"/>
        <s v="0001628280-26-016503"/>
      </sharedItems>
    </cacheField>
    <cacheField name="tag" numFmtId="0">
      <sharedItems count="7">
        <s v="Liabilities"/>
        <s v="Assets"/>
        <s v="InterestAndDividendIncomeOperating"/>
        <s v="EarningsPerShareBasic"/>
        <s v="NetIncomeLoss"/>
        <s v="StockholdersEquity"/>
        <s v="InterestIncomeOperating"/>
      </sharedItems>
    </cacheField>
    <cacheField name="version" numFmtId="0">
      <sharedItems/>
    </cacheField>
    <cacheField name="ddate" numFmtId="0">
      <sharedItems containsSemiMixedTypes="0" containsString="0" containsNumber="1" containsInteger="1" minValue="20251231" maxValue="20251231"/>
    </cacheField>
    <cacheField name="qtrs" numFmtId="0">
      <sharedItems containsSemiMixedTypes="0" containsString="0" containsNumber="1" containsInteger="1" minValue="0" maxValue="4"/>
    </cacheField>
    <cacheField name="uom" numFmtId="0">
      <sharedItems/>
    </cacheField>
    <cacheField name="segments" numFmtId="0">
      <sharedItems/>
    </cacheField>
    <cacheField name="coreg" numFmtId="0">
      <sharedItems/>
    </cacheField>
    <cacheField name="value" numFmtId="0">
      <sharedItems containsSemiMixedTypes="0" containsString="0" containsNumber="1" minValue="-397553000" maxValue="44249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x v="0"/>
    <x v="0"/>
    <s v="us-gaap/2025"/>
    <n v="20251231"/>
    <n v="0"/>
    <s v="USD"/>
    <s v=""/>
    <s v=""/>
    <n v="40227249000"/>
  </r>
  <r>
    <x v="0"/>
    <x v="1"/>
    <s v="us-gaap/2025"/>
    <n v="20251231"/>
    <n v="0"/>
    <s v="USD"/>
    <s v=""/>
    <s v=""/>
    <n v="45202596000"/>
  </r>
  <r>
    <x v="0"/>
    <x v="2"/>
    <s v="us-gaap/2025"/>
    <n v="20251231"/>
    <n v="4"/>
    <s v="USD"/>
    <s v=""/>
    <s v=""/>
    <n v="2172756000"/>
  </r>
  <r>
    <x v="0"/>
    <x v="3"/>
    <s v="us-gaap/2025"/>
    <n v="20251231"/>
    <n v="4"/>
    <s v="USD"/>
    <s v=""/>
    <s v=""/>
    <n v="2.79"/>
  </r>
  <r>
    <x v="1"/>
    <x v="4"/>
    <s v="us-gaap/2025"/>
    <n v="20251231"/>
    <n v="4"/>
    <s v="USD"/>
    <s v=""/>
    <s v=""/>
    <n v="566251000"/>
  </r>
  <r>
    <x v="1"/>
    <x v="1"/>
    <s v="us-gaap/2025"/>
    <n v="20251231"/>
    <n v="0"/>
    <s v="USD"/>
    <s v=""/>
    <s v=""/>
    <n v="32915089000"/>
  </r>
  <r>
    <x v="1"/>
    <x v="2"/>
    <s v="us-gaap/2025"/>
    <n v="20251231"/>
    <n v="4"/>
    <s v="USD"/>
    <s v=""/>
    <s v=""/>
    <n v="1483723000"/>
  </r>
  <r>
    <x v="1"/>
    <x v="3"/>
    <s v="us-gaap/2025"/>
    <n v="20251231"/>
    <n v="4"/>
    <s v="USD"/>
    <s v=""/>
    <s v=""/>
    <n v="4.04"/>
  </r>
  <r>
    <x v="2"/>
    <x v="3"/>
    <s v="us-gaap/2025"/>
    <n v="20251231"/>
    <n v="4"/>
    <s v="USD"/>
    <s v=""/>
    <s v=""/>
    <n v="6.41"/>
  </r>
  <r>
    <x v="2"/>
    <x v="5"/>
    <s v="us-gaap/2025"/>
    <n v="20251231"/>
    <n v="0"/>
    <s v="USD"/>
    <s v=""/>
    <s v=""/>
    <n v="1274971000"/>
  </r>
  <r>
    <x v="3"/>
    <x v="2"/>
    <s v="us-gaap/2025"/>
    <n v="20251231"/>
    <n v="4"/>
    <s v="USD"/>
    <s v=""/>
    <s v=""/>
    <n v="9903000000"/>
  </r>
  <r>
    <x v="4"/>
    <x v="3"/>
    <s v="us-gaap/2025"/>
    <n v="20251231"/>
    <n v="4"/>
    <s v="USD"/>
    <s v=""/>
    <s v=""/>
    <n v="4.62"/>
  </r>
  <r>
    <x v="5"/>
    <x v="2"/>
    <s v="us-gaap/2025"/>
    <n v="20251231"/>
    <n v="4"/>
    <s v="USD"/>
    <s v=""/>
    <s v=""/>
    <n v="10486000000"/>
  </r>
  <r>
    <x v="3"/>
    <x v="0"/>
    <s v="us-gaap/2025"/>
    <n v="20251231"/>
    <n v="0"/>
    <s v="USD"/>
    <s v=""/>
    <s v=""/>
    <n v="192652000000"/>
  </r>
  <r>
    <x v="4"/>
    <x v="1"/>
    <s v="us-gaap/2025"/>
    <n v="20251231"/>
    <n v="0"/>
    <s v="USD"/>
    <s v=""/>
    <s v=""/>
    <n v="692345000000"/>
  </r>
  <r>
    <x v="5"/>
    <x v="3"/>
    <s v="us-gaap/2025"/>
    <n v="20251231"/>
    <n v="4"/>
    <s v="USD"/>
    <s v=""/>
    <s v=""/>
    <n v="17.100000000000001"/>
  </r>
  <r>
    <x v="6"/>
    <x v="0"/>
    <s v="us-gaap/2025"/>
    <n v="20251231"/>
    <n v="0"/>
    <s v="USD"/>
    <s v=""/>
    <s v=""/>
    <n v="74734000000"/>
  </r>
  <r>
    <x v="6"/>
    <x v="1"/>
    <s v="us-gaap/2025"/>
    <n v="20251231"/>
    <n v="0"/>
    <s v="USD"/>
    <s v=""/>
    <s v=""/>
    <n v="83876000000"/>
  </r>
  <r>
    <x v="7"/>
    <x v="0"/>
    <s v="us-gaap/2025"/>
    <n v="20251231"/>
    <n v="0"/>
    <s v="USD"/>
    <s v=""/>
    <s v=""/>
    <n v="43470000000"/>
  </r>
  <r>
    <x v="7"/>
    <x v="4"/>
    <s v="us-gaap/2025"/>
    <n v="20251231"/>
    <n v="4"/>
    <s v="USD"/>
    <s v=""/>
    <s v=""/>
    <n v="565000000"/>
  </r>
  <r>
    <x v="4"/>
    <x v="5"/>
    <s v="us-gaap/2025"/>
    <n v="20251231"/>
    <n v="0"/>
    <s v="USD"/>
    <s v=""/>
    <s v=""/>
    <n v="65193000000"/>
  </r>
  <r>
    <x v="8"/>
    <x v="2"/>
    <s v="us-gaap/2025"/>
    <n v="20251231"/>
    <n v="4"/>
    <s v="USD"/>
    <s v=""/>
    <s v=""/>
    <n v="2420747000"/>
  </r>
  <r>
    <x v="5"/>
    <x v="4"/>
    <s v="us-gaap/2025"/>
    <n v="20251231"/>
    <n v="4"/>
    <s v="USD"/>
    <s v=""/>
    <s v=""/>
    <n v="2851000000"/>
  </r>
  <r>
    <x v="9"/>
    <x v="4"/>
    <s v="us-gaap/2025"/>
    <n v="20251231"/>
    <n v="4"/>
    <s v="USD"/>
    <s v=""/>
    <s v=""/>
    <n v="68541000"/>
  </r>
  <r>
    <x v="2"/>
    <x v="0"/>
    <s v="us-gaap/2025"/>
    <n v="20251231"/>
    <n v="0"/>
    <s v="USD"/>
    <s v=""/>
    <s v=""/>
    <n v="7737180000"/>
  </r>
  <r>
    <x v="3"/>
    <x v="1"/>
    <s v="us-gaap/2025"/>
    <n v="20251231"/>
    <n v="0"/>
    <s v="USD"/>
    <s v=""/>
    <s v=""/>
    <n v="214376000000"/>
  </r>
  <r>
    <x v="10"/>
    <x v="0"/>
    <s v="us-gaap/2025"/>
    <n v="20251231"/>
    <n v="0"/>
    <s v="USD"/>
    <s v=""/>
    <s v=""/>
    <n v="180504000000"/>
  </r>
  <r>
    <x v="1"/>
    <x v="0"/>
    <s v="us-gaap/2025"/>
    <n v="20251231"/>
    <n v="0"/>
    <s v="USD"/>
    <s v=""/>
    <s v=""/>
    <n v="29100317000"/>
  </r>
  <r>
    <x v="1"/>
    <x v="5"/>
    <s v="us-gaap/2025"/>
    <n v="20251231"/>
    <n v="0"/>
    <s v="USD"/>
    <s v=""/>
    <s v=""/>
    <n v="3791371000"/>
  </r>
  <r>
    <x v="4"/>
    <x v="0"/>
    <s v="us-gaap/2025"/>
    <n v="20251231"/>
    <n v="0"/>
    <s v="USD"/>
    <s v=""/>
    <s v=""/>
    <n v="626694000000"/>
  </r>
  <r>
    <x v="11"/>
    <x v="4"/>
    <s v="us-gaap/2025"/>
    <n v="20251231"/>
    <n v="4"/>
    <s v="USD"/>
    <s v=""/>
    <s v=""/>
    <n v="205902000"/>
  </r>
  <r>
    <x v="5"/>
    <x v="1"/>
    <s v="us-gaap/2025"/>
    <n v="20251231"/>
    <n v="0"/>
    <s v="USD"/>
    <s v=""/>
    <s v=""/>
    <n v="213510000000"/>
  </r>
  <r>
    <x v="10"/>
    <x v="1"/>
    <s v="us-gaap/2025"/>
    <n v="20251231"/>
    <n v="0"/>
    <s v="USD"/>
    <s v=""/>
    <s v=""/>
    <n v="196002000000"/>
  </r>
  <r>
    <x v="9"/>
    <x v="1"/>
    <s v="us-gaap/2025"/>
    <n v="20251231"/>
    <n v="0"/>
    <s v="USD"/>
    <s v=""/>
    <s v=""/>
    <n v="5505720000"/>
  </r>
  <r>
    <x v="4"/>
    <x v="2"/>
    <s v="us-gaap/2025"/>
    <n v="20251231"/>
    <n v="4"/>
    <s v="USD"/>
    <s v=""/>
    <s v=""/>
    <n v="30970000000"/>
  </r>
  <r>
    <x v="6"/>
    <x v="6"/>
    <s v="us-gaap/2025"/>
    <n v="20251231"/>
    <n v="4"/>
    <s v="USD"/>
    <s v=""/>
    <s v=""/>
    <n v="4186000000"/>
  </r>
  <r>
    <x v="11"/>
    <x v="1"/>
    <s v="us-gaap/2025"/>
    <n v="20251231"/>
    <n v="0"/>
    <s v="USD"/>
    <s v=""/>
    <s v=""/>
    <n v="24176364000"/>
  </r>
  <r>
    <x v="9"/>
    <x v="0"/>
    <s v="us-gaap/2025"/>
    <n v="20251231"/>
    <n v="0"/>
    <s v="USD"/>
    <s v=""/>
    <s v=""/>
    <n v="5002769000"/>
  </r>
  <r>
    <x v="6"/>
    <x v="5"/>
    <s v="us-gaap/2025"/>
    <n v="20251231"/>
    <n v="0"/>
    <s v="USD"/>
    <s v=""/>
    <s v=""/>
    <n v="8847000000"/>
  </r>
  <r>
    <x v="12"/>
    <x v="3"/>
    <s v="us-gaap/2025"/>
    <n v="20251231"/>
    <n v="4"/>
    <s v="USD"/>
    <s v=""/>
    <s v=""/>
    <n v="1.41"/>
  </r>
  <r>
    <x v="10"/>
    <x v="5"/>
    <s v="us-gaap/2025"/>
    <n v="20251231"/>
    <n v="0"/>
    <s v="USD"/>
    <s v=""/>
    <s v=""/>
    <n v="15498000000"/>
  </r>
  <r>
    <x v="12"/>
    <x v="5"/>
    <s v="us-gaap/2025"/>
    <n v="20251231"/>
    <n v="0"/>
    <s v="USD"/>
    <s v=""/>
    <s v=""/>
    <n v="24342000000"/>
  </r>
  <r>
    <x v="2"/>
    <x v="1"/>
    <s v="us-gaap/2025"/>
    <n v="20251231"/>
    <n v="0"/>
    <s v="USD"/>
    <s v=""/>
    <s v=""/>
    <n v="9055270000"/>
  </r>
  <r>
    <x v="6"/>
    <x v="3"/>
    <s v="us-gaap/2025"/>
    <n v="20251231"/>
    <n v="4"/>
    <s v="USD"/>
    <s v=""/>
    <s v=""/>
    <n v="1.89"/>
  </r>
  <r>
    <x v="11"/>
    <x v="2"/>
    <s v="us-gaap/2025"/>
    <n v="20251231"/>
    <n v="4"/>
    <s v="USD"/>
    <s v=""/>
    <s v=""/>
    <n v="887823000"/>
  </r>
  <r>
    <x v="6"/>
    <x v="4"/>
    <s v="us-gaap/2025"/>
    <n v="20251231"/>
    <n v="4"/>
    <s v="USD"/>
    <s v=""/>
    <s v=""/>
    <n v="982000000"/>
  </r>
  <r>
    <x v="9"/>
    <x v="3"/>
    <s v="us-gaap/2025"/>
    <n v="20251231"/>
    <n v="4"/>
    <s v="USD"/>
    <s v=""/>
    <s v=""/>
    <n v="3.3"/>
  </r>
  <r>
    <x v="9"/>
    <x v="5"/>
    <s v="us-gaap/2025"/>
    <n v="20251231"/>
    <n v="0"/>
    <s v="USD"/>
    <s v=""/>
    <s v=""/>
    <n v="502951000"/>
  </r>
  <r>
    <x v="7"/>
    <x v="2"/>
    <s v="us-gaap/2025"/>
    <n v="20251231"/>
    <n v="4"/>
    <s v="USD"/>
    <s v=""/>
    <s v=""/>
    <n v="2326000000"/>
  </r>
  <r>
    <x v="10"/>
    <x v="3"/>
    <s v="us-gaap/2025"/>
    <n v="20251231"/>
    <n v="4"/>
    <s v="USD"/>
    <s v=""/>
    <s v=""/>
    <n v="2.39"/>
  </r>
  <r>
    <x v="12"/>
    <x v="4"/>
    <s v="us-gaap/2025"/>
    <n v="20251231"/>
    <n v="4"/>
    <s v="USD"/>
    <s v=""/>
    <s v=""/>
    <n v="2211000000"/>
  </r>
  <r>
    <x v="8"/>
    <x v="1"/>
    <s v="us-gaap/2025"/>
    <n v="20251231"/>
    <n v="0"/>
    <s v="USD"/>
    <s v=""/>
    <s v=""/>
    <n v="53041424000"/>
  </r>
  <r>
    <x v="8"/>
    <x v="3"/>
    <s v="us-gaap/2025"/>
    <n v="20251231"/>
    <n v="4"/>
    <s v="USD"/>
    <s v=""/>
    <s v=""/>
    <n v="9.92"/>
  </r>
  <r>
    <x v="8"/>
    <x v="5"/>
    <s v="us-gaap/2025"/>
    <n v="20251231"/>
    <n v="0"/>
    <s v="USD"/>
    <s v=""/>
    <s v=""/>
    <n v="4573036000"/>
  </r>
  <r>
    <x v="9"/>
    <x v="2"/>
    <s v="us-gaap/2025"/>
    <n v="20251231"/>
    <n v="4"/>
    <s v="USD"/>
    <s v=""/>
    <s v=""/>
    <n v="269737000"/>
  </r>
  <r>
    <x v="13"/>
    <x v="1"/>
    <s v="us-gaap/2025"/>
    <n v="20251231"/>
    <n v="0"/>
    <s v="USD"/>
    <s v=""/>
    <s v=""/>
    <n v="2148631000000"/>
  </r>
  <r>
    <x v="13"/>
    <x v="2"/>
    <s v="us-gaap/2025"/>
    <n v="20251231"/>
    <n v="4"/>
    <s v="USD"/>
    <s v=""/>
    <s v=""/>
    <n v="87314000000"/>
  </r>
  <r>
    <x v="11"/>
    <x v="3"/>
    <s v="us-gaap/2025"/>
    <n v="20251231"/>
    <n v="4"/>
    <s v="USD"/>
    <s v=""/>
    <s v=""/>
    <n v="4.67"/>
  </r>
  <r>
    <x v="13"/>
    <x v="0"/>
    <s v="us-gaap/2025"/>
    <n v="20251231"/>
    <n v="0"/>
    <s v="USD"/>
    <s v=""/>
    <s v=""/>
    <n v="1965593000000"/>
  </r>
  <r>
    <x v="11"/>
    <x v="0"/>
    <s v="us-gaap/2025"/>
    <n v="20251231"/>
    <n v="0"/>
    <s v="USD"/>
    <s v=""/>
    <s v=""/>
    <n v="22325152000"/>
  </r>
  <r>
    <x v="13"/>
    <x v="5"/>
    <s v="us-gaap/2025"/>
    <n v="20251231"/>
    <n v="0"/>
    <s v="USD"/>
    <s v=""/>
    <s v=""/>
    <n v="181117000000"/>
  </r>
  <r>
    <x v="0"/>
    <x v="4"/>
    <s v="us-gaap/2025"/>
    <n v="20251231"/>
    <n v="4"/>
    <s v="USD"/>
    <s v=""/>
    <s v=""/>
    <n v="474777000"/>
  </r>
  <r>
    <x v="12"/>
    <x v="1"/>
    <s v="us-gaap/2025"/>
    <n v="20251231"/>
    <n v="0"/>
    <s v="USD"/>
    <s v=""/>
    <s v=""/>
    <n v="225106000000"/>
  </r>
  <r>
    <x v="12"/>
    <x v="0"/>
    <s v="us-gaap/2025"/>
    <n v="20251231"/>
    <n v="0"/>
    <s v="USD"/>
    <s v=""/>
    <s v=""/>
    <n v="200727000000"/>
  </r>
  <r>
    <x v="14"/>
    <x v="1"/>
    <s v="us-gaap/2025"/>
    <n v="20251231"/>
    <n v="0"/>
    <s v="USD"/>
    <s v=""/>
    <s v=""/>
    <n v="172410000000"/>
  </r>
  <r>
    <x v="15"/>
    <x v="1"/>
    <s v="us-gaap/2025"/>
    <n v="20251231"/>
    <n v="0"/>
    <s v="USD"/>
    <s v=""/>
    <s v=""/>
    <n v="3411738000000"/>
  </r>
  <r>
    <x v="15"/>
    <x v="4"/>
    <s v="us-gaap/2025"/>
    <n v="20251231"/>
    <n v="4"/>
    <s v="USD"/>
    <s v=""/>
    <s v=""/>
    <n v="30509000000"/>
  </r>
  <r>
    <x v="13"/>
    <x v="4"/>
    <s v="us-gaap/2025"/>
    <n v="20251231"/>
    <n v="4"/>
    <s v="USD"/>
    <s v=""/>
    <s v=""/>
    <n v="21338000000"/>
  </r>
  <r>
    <x v="16"/>
    <x v="2"/>
    <s v="us-gaap/2025"/>
    <n v="20251231"/>
    <n v="4"/>
    <s v="USD"/>
    <s v=""/>
    <s v=""/>
    <n v="8624600000"/>
  </r>
  <r>
    <x v="17"/>
    <x v="1"/>
    <s v="us-gaap/2025"/>
    <n v="20251231"/>
    <n v="0"/>
    <s v="USD"/>
    <s v=""/>
    <s v=""/>
    <n v="547538000000"/>
  </r>
  <r>
    <x v="17"/>
    <x v="3"/>
    <s v="us-gaap/2025"/>
    <n v="20251231"/>
    <n v="4"/>
    <s v="USD"/>
    <s v=""/>
    <s v=""/>
    <n v="3.87"/>
  </r>
  <r>
    <x v="15"/>
    <x v="3"/>
    <s v="us-gaap/2025"/>
    <n v="20251231"/>
    <n v="4"/>
    <s v="USD"/>
    <s v=""/>
    <s v=""/>
    <n v="3.86"/>
  </r>
  <r>
    <x v="15"/>
    <x v="5"/>
    <s v="us-gaap/2025"/>
    <n v="20251231"/>
    <n v="0"/>
    <s v="USD"/>
    <s v=""/>
    <s v=""/>
    <n v="303243000000"/>
  </r>
  <r>
    <x v="16"/>
    <x v="3"/>
    <s v="us-gaap/2025"/>
    <n v="20251231"/>
    <n v="4"/>
    <s v="USD"/>
    <s v=""/>
    <s v=""/>
    <n v="8.7799999999999994"/>
  </r>
  <r>
    <x v="14"/>
    <x v="5"/>
    <s v="us-gaap/2025"/>
    <n v="20251231"/>
    <n v="0"/>
    <s v="USD"/>
    <s v=""/>
    <s v=""/>
    <n v="12439000000"/>
  </r>
  <r>
    <x v="14"/>
    <x v="0"/>
    <s v="us-gaap/2025"/>
    <n v="20251231"/>
    <n v="0"/>
    <s v="USD"/>
    <s v=""/>
    <s v=""/>
    <n v="159971000000"/>
  </r>
  <r>
    <x v="18"/>
    <x v="2"/>
    <s v="us-gaap/2025"/>
    <n v="20251231"/>
    <n v="4"/>
    <s v="USD"/>
    <s v=""/>
    <s v=""/>
    <n v="430486000"/>
  </r>
  <r>
    <x v="18"/>
    <x v="1"/>
    <s v="us-gaap/2025"/>
    <n v="20251231"/>
    <n v="0"/>
    <s v="USD"/>
    <s v=""/>
    <s v=""/>
    <n v="8436897000"/>
  </r>
  <r>
    <x v="18"/>
    <x v="4"/>
    <s v="us-gaap/2025"/>
    <n v="20251231"/>
    <n v="4"/>
    <s v="USD"/>
    <s v=""/>
    <s v=""/>
    <n v="90757000"/>
  </r>
  <r>
    <x v="14"/>
    <x v="4"/>
    <s v="us-gaap/2025"/>
    <n v="20251231"/>
    <n v="4"/>
    <s v="USD"/>
    <s v=""/>
    <s v=""/>
    <n v="1101000000"/>
  </r>
  <r>
    <x v="19"/>
    <x v="0"/>
    <s v="us-gaap/2025"/>
    <n v="20251231"/>
    <n v="0"/>
    <s v="USD"/>
    <s v=""/>
    <s v=""/>
    <n v="81810000000"/>
  </r>
  <r>
    <x v="17"/>
    <x v="2"/>
    <s v="us-gaap/2025"/>
    <n v="20251231"/>
    <n v="4"/>
    <s v="USD"/>
    <s v=""/>
    <s v=""/>
    <n v="24542000000"/>
  </r>
  <r>
    <x v="19"/>
    <x v="1"/>
    <s v="us-gaap/2025"/>
    <n v="20251231"/>
    <n v="0"/>
    <s v="USD"/>
    <s v=""/>
    <s v=""/>
    <n v="88990000000"/>
  </r>
  <r>
    <x v="20"/>
    <x v="0"/>
    <s v="us-gaap/2025"/>
    <n v="20251231"/>
    <n v="0"/>
    <s v="USD"/>
    <s v=""/>
    <s v=""/>
    <n v="338206000000"/>
  </r>
  <r>
    <x v="20"/>
    <x v="4"/>
    <s v="us-gaap/2025"/>
    <n v="20251231"/>
    <n v="4"/>
    <s v="USD"/>
    <s v=""/>
    <s v=""/>
    <n v="2945000000"/>
  </r>
  <r>
    <x v="20"/>
    <x v="3"/>
    <s v="us-gaap/2025"/>
    <n v="20251231"/>
    <n v="4"/>
    <s v="USD"/>
    <s v=""/>
    <s v=""/>
    <n v="9.5500000000000007"/>
  </r>
  <r>
    <x v="21"/>
    <x v="0"/>
    <s v="us-gaap/2025"/>
    <n v="20251231"/>
    <n v="0"/>
    <s v="USD"/>
    <s v=""/>
    <s v=""/>
    <n v="8443028000"/>
  </r>
  <r>
    <x v="18"/>
    <x v="0"/>
    <s v="us-gaap/2025"/>
    <n v="20251231"/>
    <n v="0"/>
    <s v="USD"/>
    <s v=""/>
    <s v=""/>
    <n v="7493579000"/>
  </r>
  <r>
    <x v="18"/>
    <x v="5"/>
    <s v="us-gaap/2025"/>
    <n v="20251231"/>
    <n v="0"/>
    <s v="USD"/>
    <s v=""/>
    <s v=""/>
    <n v="943318000"/>
  </r>
  <r>
    <x v="18"/>
    <x v="3"/>
    <s v="us-gaap/2025"/>
    <n v="20251231"/>
    <n v="4"/>
    <s v="USD"/>
    <s v=""/>
    <s v=""/>
    <n v="3.16"/>
  </r>
  <r>
    <x v="22"/>
    <x v="4"/>
    <s v="us-gaap/2025"/>
    <n v="20251231"/>
    <n v="4"/>
    <s v="USD"/>
    <s v=""/>
    <s v=""/>
    <n v="391609000"/>
  </r>
  <r>
    <x v="23"/>
    <x v="3"/>
    <s v="us-gaap/2024"/>
    <n v="20251231"/>
    <n v="4"/>
    <s v="USD"/>
    <s v=""/>
    <s v=""/>
    <n v="2.88"/>
  </r>
  <r>
    <x v="24"/>
    <x v="1"/>
    <s v="us-gaap/2025"/>
    <n v="20251231"/>
    <n v="0"/>
    <s v="USD"/>
    <s v=""/>
    <s v=""/>
    <n v="18104736000"/>
  </r>
  <r>
    <x v="24"/>
    <x v="2"/>
    <s v="us-gaap/2025"/>
    <n v="20251231"/>
    <n v="4"/>
    <s v="USD"/>
    <s v=""/>
    <s v=""/>
    <n v="893860000"/>
  </r>
  <r>
    <x v="24"/>
    <x v="0"/>
    <s v="us-gaap/2025"/>
    <n v="20251231"/>
    <n v="0"/>
    <s v="USD"/>
    <s v=""/>
    <s v=""/>
    <n v="15635754000"/>
  </r>
  <r>
    <x v="25"/>
    <x v="3"/>
    <s v="us-gaap/2025"/>
    <n v="20251231"/>
    <n v="4"/>
    <s v="USD"/>
    <s v=""/>
    <s v=""/>
    <n v="-3.24"/>
  </r>
  <r>
    <x v="26"/>
    <x v="3"/>
    <s v="us-gaap/2025"/>
    <n v="20251231"/>
    <n v="4"/>
    <s v="USD"/>
    <s v=""/>
    <s v=""/>
    <n v="16.600000000000001"/>
  </r>
  <r>
    <x v="27"/>
    <x v="3"/>
    <s v="us-gaap/2025"/>
    <n v="20251231"/>
    <n v="4"/>
    <s v="USD"/>
    <s v=""/>
    <s v=""/>
    <n v="1.02"/>
  </r>
  <r>
    <x v="28"/>
    <x v="5"/>
    <s v="us-gaap/2025"/>
    <n v="20251231"/>
    <n v="0"/>
    <s v="USD"/>
    <s v=""/>
    <s v=""/>
    <n v="1162325000"/>
  </r>
  <r>
    <x v="29"/>
    <x v="2"/>
    <s v="us-gaap/2025"/>
    <n v="20251231"/>
    <n v="4"/>
    <s v="USD"/>
    <s v=""/>
    <s v=""/>
    <n v="305588000"/>
  </r>
  <r>
    <x v="30"/>
    <x v="4"/>
    <s v="us-gaap/2025"/>
    <n v="20251231"/>
    <n v="4"/>
    <s v="USD"/>
    <s v=""/>
    <s v=""/>
    <n v="43953000"/>
  </r>
  <r>
    <x v="31"/>
    <x v="5"/>
    <s v="us-gaap/2025"/>
    <n v="20251231"/>
    <n v="0"/>
    <s v="USD"/>
    <s v=""/>
    <s v=""/>
    <n v="1463877000"/>
  </r>
  <r>
    <x v="24"/>
    <x v="4"/>
    <s v="us-gaap/2025"/>
    <n v="20251231"/>
    <n v="4"/>
    <s v="USD"/>
    <s v=""/>
    <s v=""/>
    <n v="135262000"/>
  </r>
  <r>
    <x v="24"/>
    <x v="5"/>
    <s v="us-gaap/2025"/>
    <n v="20251231"/>
    <n v="0"/>
    <s v="USD"/>
    <s v=""/>
    <s v=""/>
    <n v="2468982000"/>
  </r>
  <r>
    <x v="32"/>
    <x v="1"/>
    <s v="us-gaap/2025"/>
    <n v="20251231"/>
    <n v="0"/>
    <s v="USD"/>
    <s v=""/>
    <s v=""/>
    <n v="6990022000"/>
  </r>
  <r>
    <x v="32"/>
    <x v="2"/>
    <s v="us-gaap/2025"/>
    <n v="20251231"/>
    <n v="4"/>
    <s v="USD"/>
    <s v=""/>
    <s v=""/>
    <n v="373735000"/>
  </r>
  <r>
    <x v="32"/>
    <x v="0"/>
    <s v="us-gaap/2025"/>
    <n v="20251231"/>
    <n v="0"/>
    <s v="USD"/>
    <s v=""/>
    <s v=""/>
    <n v="6227530000"/>
  </r>
  <r>
    <x v="33"/>
    <x v="5"/>
    <s v="us-gaap/2025"/>
    <n v="20251231"/>
    <n v="0"/>
    <s v="USD"/>
    <s v=""/>
    <s v=""/>
    <n v="1328001000"/>
  </r>
  <r>
    <x v="22"/>
    <x v="2"/>
    <s v="us-gaap/2025"/>
    <n v="20251231"/>
    <n v="4"/>
    <s v="USD"/>
    <s v=""/>
    <s v=""/>
    <n v="1616874000"/>
  </r>
  <r>
    <x v="33"/>
    <x v="4"/>
    <s v="us-gaap/2025"/>
    <n v="20251231"/>
    <n v="4"/>
    <s v="USD"/>
    <s v=""/>
    <s v=""/>
    <n v="121558000"/>
  </r>
  <r>
    <x v="34"/>
    <x v="4"/>
    <s v="us-gaap/2025"/>
    <n v="20251231"/>
    <n v="4"/>
    <s v="USD"/>
    <s v=""/>
    <s v=""/>
    <n v="21226000"/>
  </r>
  <r>
    <x v="35"/>
    <x v="1"/>
    <s v="us-gaap/2025"/>
    <n v="20251231"/>
    <n v="0"/>
    <s v="USD"/>
    <s v=""/>
    <s v=""/>
    <n v="6722018000"/>
  </r>
  <r>
    <x v="35"/>
    <x v="2"/>
    <s v="us-gaap/2025"/>
    <n v="20251231"/>
    <n v="4"/>
    <s v="USD"/>
    <s v=""/>
    <s v=""/>
    <n v="321216000"/>
  </r>
  <r>
    <x v="11"/>
    <x v="5"/>
    <s v="us-gaap/2025"/>
    <n v="20251231"/>
    <n v="0"/>
    <s v="USD"/>
    <s v=""/>
    <s v=""/>
    <n v="1851212000"/>
  </r>
  <r>
    <x v="23"/>
    <x v="0"/>
    <s v="us-gaap/2024"/>
    <n v="20251231"/>
    <n v="0"/>
    <s v="USD"/>
    <s v=""/>
    <s v=""/>
    <n v="6816660000"/>
  </r>
  <r>
    <x v="23"/>
    <x v="2"/>
    <s v="us-gaap/2024"/>
    <n v="20251231"/>
    <n v="4"/>
    <s v="USD"/>
    <s v=""/>
    <s v=""/>
    <n v="314162000"/>
  </r>
  <r>
    <x v="23"/>
    <x v="4"/>
    <s v="us-gaap/2024"/>
    <n v="20251231"/>
    <n v="4"/>
    <s v="USD"/>
    <s v=""/>
    <s v=""/>
    <n v="77480000"/>
  </r>
  <r>
    <x v="19"/>
    <x v="2"/>
    <s v="us-gaap/2025"/>
    <n v="20251231"/>
    <n v="4"/>
    <s v="USD"/>
    <s v=""/>
    <s v=""/>
    <n v="4184000000"/>
  </r>
  <r>
    <x v="36"/>
    <x v="1"/>
    <s v="us-gaap/2025"/>
    <n v="20251231"/>
    <n v="0"/>
    <s v="USD"/>
    <s v=""/>
    <s v=""/>
    <n v="8514590000"/>
  </r>
  <r>
    <x v="36"/>
    <x v="0"/>
    <s v="us-gaap/2025"/>
    <n v="20251231"/>
    <n v="0"/>
    <s v="USD"/>
    <s v=""/>
    <s v=""/>
    <n v="7666975000"/>
  </r>
  <r>
    <x v="37"/>
    <x v="1"/>
    <s v="us-gaap/2025"/>
    <n v="20251231"/>
    <n v="0"/>
    <s v="USD"/>
    <s v=""/>
    <s v=""/>
    <n v="1617191000"/>
  </r>
  <r>
    <x v="12"/>
    <x v="2"/>
    <s v="us-gaap/2025"/>
    <n v="20251231"/>
    <n v="4"/>
    <s v="USD"/>
    <s v=""/>
    <s v=""/>
    <n v="10310000000"/>
  </r>
  <r>
    <x v="38"/>
    <x v="4"/>
    <s v="us-gaap/2025"/>
    <n v="20251231"/>
    <n v="4"/>
    <s v="USD"/>
    <s v=""/>
    <s v=""/>
    <n v="669257000"/>
  </r>
  <r>
    <x v="39"/>
    <x v="0"/>
    <s v="us-gaap/2025"/>
    <n v="20251231"/>
    <n v="0"/>
    <s v="USD"/>
    <s v=""/>
    <s v=""/>
    <n v="18360163000"/>
  </r>
  <r>
    <x v="40"/>
    <x v="3"/>
    <s v="us-gaap/2025"/>
    <n v="20251231"/>
    <n v="4"/>
    <s v="USD"/>
    <s v=""/>
    <s v=""/>
    <n v="1.59"/>
  </r>
  <r>
    <x v="40"/>
    <x v="4"/>
    <s v="us-gaap/2025"/>
    <n v="20251231"/>
    <n v="4"/>
    <s v="USD"/>
    <s v=""/>
    <s v=""/>
    <n v="28253000"/>
  </r>
  <r>
    <x v="41"/>
    <x v="1"/>
    <s v="us-gaap/2025"/>
    <n v="20251231"/>
    <n v="0"/>
    <s v="USD"/>
    <s v=""/>
    <s v=""/>
    <n v="19025101000"/>
  </r>
  <r>
    <x v="39"/>
    <x v="2"/>
    <s v="us-gaap/2025"/>
    <n v="20251231"/>
    <n v="4"/>
    <s v="USD"/>
    <s v=""/>
    <s v=""/>
    <n v="1001904000"/>
  </r>
  <r>
    <x v="42"/>
    <x v="0"/>
    <s v="us-gaap/2025"/>
    <n v="20251231"/>
    <n v="0"/>
    <s v="USD"/>
    <s v=""/>
    <s v=""/>
    <n v="7524308000"/>
  </r>
  <r>
    <x v="43"/>
    <x v="1"/>
    <s v="us-gaap/2025"/>
    <n v="20251231"/>
    <n v="0"/>
    <s v="USD"/>
    <s v=""/>
    <s v=""/>
    <n v="6621694000"/>
  </r>
  <r>
    <x v="43"/>
    <x v="3"/>
    <s v="us-gaap/2025"/>
    <n v="20251231"/>
    <n v="4"/>
    <s v="USD"/>
    <s v=""/>
    <s v=""/>
    <n v="2.72"/>
  </r>
  <r>
    <x v="40"/>
    <x v="0"/>
    <s v="us-gaap/2025"/>
    <n v="20251231"/>
    <n v="0"/>
    <s v="USD"/>
    <s v=""/>
    <s v=""/>
    <n v="3359481000"/>
  </r>
  <r>
    <x v="44"/>
    <x v="5"/>
    <s v="us-gaap/2025"/>
    <n v="20251231"/>
    <n v="0"/>
    <s v="USD"/>
    <s v=""/>
    <s v=""/>
    <n v="113060000"/>
  </r>
  <r>
    <x v="45"/>
    <x v="3"/>
    <s v="us-gaap/2025"/>
    <n v="20251231"/>
    <n v="4"/>
    <s v="USD"/>
    <s v=""/>
    <s v=""/>
    <n v="1.48"/>
  </r>
  <r>
    <x v="46"/>
    <x v="4"/>
    <s v="us-gaap/2025"/>
    <n v="20251231"/>
    <n v="4"/>
    <s v="USD"/>
    <s v=""/>
    <s v=""/>
    <n v="65160000"/>
  </r>
  <r>
    <x v="47"/>
    <x v="4"/>
    <s v="us-gaap/2025"/>
    <n v="20251231"/>
    <n v="4"/>
    <s v="USD"/>
    <s v=""/>
    <s v=""/>
    <n v="181272000"/>
  </r>
  <r>
    <x v="33"/>
    <x v="0"/>
    <s v="us-gaap/2025"/>
    <n v="20251231"/>
    <n v="0"/>
    <s v="USD"/>
    <s v=""/>
    <s v=""/>
    <n v="8494062000"/>
  </r>
  <r>
    <x v="30"/>
    <x v="5"/>
    <s v="us-gaap/2025"/>
    <n v="20251231"/>
    <n v="0"/>
    <s v="USD"/>
    <s v=""/>
    <s v=""/>
    <n v="431852000"/>
  </r>
  <r>
    <x v="26"/>
    <x v="5"/>
    <s v="us-gaap/2025"/>
    <n v="20251231"/>
    <n v="0"/>
    <s v="USD"/>
    <s v=""/>
    <s v=""/>
    <n v="60585000000"/>
  </r>
  <r>
    <x v="31"/>
    <x v="2"/>
    <s v="us-gaap/2025"/>
    <n v="20251231"/>
    <n v="4"/>
    <s v="USD"/>
    <s v=""/>
    <s v=""/>
    <n v="516490000"/>
  </r>
  <r>
    <x v="31"/>
    <x v="4"/>
    <s v="us-gaap/2025"/>
    <n v="20251231"/>
    <n v="4"/>
    <s v="USD"/>
    <s v=""/>
    <s v=""/>
    <n v="134230000"/>
  </r>
  <r>
    <x v="22"/>
    <x v="3"/>
    <s v="us-gaap/2025"/>
    <n v="20251231"/>
    <n v="4"/>
    <s v="USD"/>
    <s v=""/>
    <s v=""/>
    <n v="2.1"/>
  </r>
  <r>
    <x v="28"/>
    <x v="3"/>
    <s v="us-gaap/2025"/>
    <n v="20251231"/>
    <n v="4"/>
    <s v="USD"/>
    <s v=""/>
    <s v=""/>
    <n v="3.06"/>
  </r>
  <r>
    <x v="47"/>
    <x v="2"/>
    <s v="us-gaap/2025"/>
    <n v="20251231"/>
    <n v="4"/>
    <s v="USD"/>
    <s v=""/>
    <s v=""/>
    <n v="1262259000"/>
  </r>
  <r>
    <x v="30"/>
    <x v="0"/>
    <s v="us-gaap/2025"/>
    <n v="20251231"/>
    <n v="0"/>
    <s v="USD"/>
    <s v=""/>
    <s v=""/>
    <n v="4014010000"/>
  </r>
  <r>
    <x v="36"/>
    <x v="3"/>
    <s v="us-gaap/2025"/>
    <n v="20251231"/>
    <n v="4"/>
    <s v="USD"/>
    <s v=""/>
    <s v=""/>
    <n v="2.2999999999999998"/>
  </r>
  <r>
    <x v="36"/>
    <x v="4"/>
    <s v="us-gaap/2025"/>
    <n v="20251231"/>
    <n v="4"/>
    <s v="USD"/>
    <s v=""/>
    <s v=""/>
    <n v="69220000"/>
  </r>
  <r>
    <x v="25"/>
    <x v="1"/>
    <s v="us-gaap/2025"/>
    <n v="20251231"/>
    <n v="0"/>
    <s v="USD"/>
    <s v=""/>
    <s v=""/>
    <n v="6436611000"/>
  </r>
  <r>
    <x v="48"/>
    <x v="1"/>
    <s v="us-gaap/2024"/>
    <n v="20251231"/>
    <n v="0"/>
    <s v="USD"/>
    <s v=""/>
    <s v=""/>
    <n v="4385765000"/>
  </r>
  <r>
    <x v="48"/>
    <x v="2"/>
    <s v="us-gaap/2024"/>
    <n v="20251231"/>
    <n v="4"/>
    <s v="USD"/>
    <s v=""/>
    <s v=""/>
    <n v="204387000"/>
  </r>
  <r>
    <x v="37"/>
    <x v="2"/>
    <s v="us-gaap/2025"/>
    <n v="20251231"/>
    <n v="4"/>
    <s v="USD"/>
    <s v=""/>
    <s v=""/>
    <n v="75788000"/>
  </r>
  <r>
    <x v="38"/>
    <x v="3"/>
    <s v="us-gaap/2025"/>
    <n v="20251231"/>
    <n v="4"/>
    <s v="USD"/>
    <s v=""/>
    <s v=""/>
    <n v="1.8"/>
  </r>
  <r>
    <x v="35"/>
    <x v="0"/>
    <s v="us-gaap/2025"/>
    <n v="20251231"/>
    <n v="0"/>
    <s v="USD"/>
    <s v=""/>
    <s v=""/>
    <n v="5912338000"/>
  </r>
  <r>
    <x v="38"/>
    <x v="0"/>
    <s v="us-gaap/2025"/>
    <n v="20251231"/>
    <n v="0"/>
    <s v="USD"/>
    <s v=""/>
    <s v=""/>
    <n v="63657179000"/>
  </r>
  <r>
    <x v="32"/>
    <x v="4"/>
    <s v="us-gaap/2025"/>
    <n v="20251231"/>
    <n v="4"/>
    <s v="USD"/>
    <s v=""/>
    <s v=""/>
    <n v="103361000"/>
  </r>
  <r>
    <x v="32"/>
    <x v="5"/>
    <s v="us-gaap/2025"/>
    <n v="20251231"/>
    <n v="0"/>
    <s v="USD"/>
    <s v=""/>
    <s v=""/>
    <n v="762403000"/>
  </r>
  <r>
    <x v="21"/>
    <x v="3"/>
    <s v="us-gaap/2025"/>
    <n v="20251231"/>
    <n v="4"/>
    <s v="USD"/>
    <s v=""/>
    <s v=""/>
    <n v="3.03"/>
  </r>
  <r>
    <x v="34"/>
    <x v="3"/>
    <s v="us-gaap/2025"/>
    <n v="20251231"/>
    <n v="4"/>
    <s v="USD"/>
    <s v=""/>
    <s v=""/>
    <n v="4.76"/>
  </r>
  <r>
    <x v="34"/>
    <x v="0"/>
    <s v="us-gaap/2025"/>
    <n v="20251231"/>
    <n v="0"/>
    <s v="USD"/>
    <s v=""/>
    <s v=""/>
    <n v="2063776000"/>
  </r>
  <r>
    <x v="21"/>
    <x v="5"/>
    <s v="us-gaap/2025"/>
    <n v="20251231"/>
    <n v="0"/>
    <s v="USD"/>
    <s v=""/>
    <s v=""/>
    <n v="1206602000"/>
  </r>
  <r>
    <x v="49"/>
    <x v="0"/>
    <s v="us-gaap/2025"/>
    <n v="20251231"/>
    <n v="0"/>
    <s v="USD"/>
    <s v=""/>
    <s v=""/>
    <n v="4045161000"/>
  </r>
  <r>
    <x v="49"/>
    <x v="4"/>
    <s v="us-gaap/2025"/>
    <n v="20251231"/>
    <n v="4"/>
    <s v="USD"/>
    <s v=""/>
    <s v=""/>
    <n v="60502000"/>
  </r>
  <r>
    <x v="49"/>
    <x v="5"/>
    <s v="us-gaap/2025"/>
    <n v="20251231"/>
    <n v="0"/>
    <s v="USD"/>
    <s v=""/>
    <s v=""/>
    <n v="548234000"/>
  </r>
  <r>
    <x v="40"/>
    <x v="1"/>
    <s v="us-gaap/2025"/>
    <n v="20251231"/>
    <n v="0"/>
    <s v="USD"/>
    <s v=""/>
    <s v=""/>
    <n v="3735401000"/>
  </r>
  <r>
    <x v="41"/>
    <x v="3"/>
    <s v="us-gaap/2025"/>
    <n v="20251231"/>
    <n v="4"/>
    <s v="USD"/>
    <s v=""/>
    <s v=""/>
    <n v="3.9"/>
  </r>
  <r>
    <x v="35"/>
    <x v="4"/>
    <s v="us-gaap/2025"/>
    <n v="20251231"/>
    <n v="4"/>
    <s v="USD"/>
    <s v=""/>
    <s v=""/>
    <n v="130485000"/>
  </r>
  <r>
    <x v="41"/>
    <x v="0"/>
    <s v="us-gaap/2025"/>
    <n v="20251231"/>
    <n v="0"/>
    <s v="USD"/>
    <s v=""/>
    <s v=""/>
    <n v="16558434000"/>
  </r>
  <r>
    <x v="45"/>
    <x v="1"/>
    <s v="us-gaap/2025"/>
    <n v="20251231"/>
    <n v="0"/>
    <s v="USD"/>
    <s v=""/>
    <s v=""/>
    <n v="12343036000"/>
  </r>
  <r>
    <x v="45"/>
    <x v="0"/>
    <s v="us-gaap/2025"/>
    <n v="20251231"/>
    <n v="0"/>
    <s v="USD"/>
    <s v=""/>
    <s v=""/>
    <n v="10788660000"/>
  </r>
  <r>
    <x v="50"/>
    <x v="4"/>
    <s v="us-gaap/2025"/>
    <n v="20251231"/>
    <n v="4"/>
    <s v="USD"/>
    <s v=""/>
    <s v=""/>
    <n v="412154000"/>
  </r>
  <r>
    <x v="42"/>
    <x v="3"/>
    <s v="us-gaap/2025"/>
    <n v="20251231"/>
    <n v="4"/>
    <s v="USD"/>
    <s v=""/>
    <s v=""/>
    <n v="2.5"/>
  </r>
  <r>
    <x v="42"/>
    <x v="5"/>
    <s v="us-gaap/2025"/>
    <n v="20251231"/>
    <n v="0"/>
    <s v="USD"/>
    <s v=""/>
    <s v=""/>
    <n v="872127000"/>
  </r>
  <r>
    <x v="43"/>
    <x v="0"/>
    <s v="us-gaap/2025"/>
    <n v="20251231"/>
    <n v="0"/>
    <s v="USD"/>
    <s v=""/>
    <s v=""/>
    <n v="6078110000"/>
  </r>
  <r>
    <x v="43"/>
    <x v="4"/>
    <s v="us-gaap/2025"/>
    <n v="20251231"/>
    <n v="4"/>
    <s v="USD"/>
    <s v=""/>
    <s v=""/>
    <n v="52244000"/>
  </r>
  <r>
    <x v="49"/>
    <x v="1"/>
    <s v="us-gaap/2025"/>
    <n v="20251231"/>
    <n v="0"/>
    <s v="USD"/>
    <s v=""/>
    <s v=""/>
    <n v="4647870000"/>
  </r>
  <r>
    <x v="45"/>
    <x v="5"/>
    <s v="us-gaap/2025"/>
    <n v="20251231"/>
    <n v="0"/>
    <s v="USD"/>
    <s v=""/>
    <s v=""/>
    <n v="1554376000"/>
  </r>
  <r>
    <x v="46"/>
    <x v="3"/>
    <s v="us-gaap/2025"/>
    <n v="20251231"/>
    <n v="4"/>
    <s v="USD"/>
    <s v=""/>
    <s v=""/>
    <n v="3.86"/>
  </r>
  <r>
    <x v="46"/>
    <x v="5"/>
    <s v="us-gaap/2025"/>
    <n v="20251231"/>
    <n v="0"/>
    <s v="USD"/>
    <s v=""/>
    <s v=""/>
    <n v="696558000"/>
  </r>
  <r>
    <x v="26"/>
    <x v="0"/>
    <s v="us-gaap/2025"/>
    <n v="20251231"/>
    <n v="0"/>
    <s v="USD"/>
    <s v=""/>
    <s v=""/>
    <n v="512936000000"/>
  </r>
  <r>
    <x v="27"/>
    <x v="4"/>
    <s v="us-gaap/2025"/>
    <n v="20251231"/>
    <n v="4"/>
    <s v="USD"/>
    <s v=""/>
    <s v=""/>
    <n v="597983000"/>
  </r>
  <r>
    <x v="51"/>
    <x v="5"/>
    <s v="us-gaap/2025"/>
    <n v="20251231"/>
    <n v="0"/>
    <s v="USD"/>
    <s v=""/>
    <s v=""/>
    <n v="26317000000"/>
  </r>
  <r>
    <x v="28"/>
    <x v="1"/>
    <s v="us-gaap/2025"/>
    <n v="20251231"/>
    <n v="0"/>
    <s v="USD"/>
    <s v=""/>
    <s v=""/>
    <n v="8388780000"/>
  </r>
  <r>
    <x v="28"/>
    <x v="4"/>
    <s v="us-gaap/2025"/>
    <n v="20251231"/>
    <n v="4"/>
    <s v="USD"/>
    <s v=""/>
    <s v=""/>
    <n v="112635000"/>
  </r>
  <r>
    <x v="47"/>
    <x v="1"/>
    <s v="us-gaap/2025"/>
    <n v="20251231"/>
    <n v="0"/>
    <s v="USD"/>
    <s v=""/>
    <s v=""/>
    <n v="26751426000"/>
  </r>
  <r>
    <x v="52"/>
    <x v="2"/>
    <s v="us-gaap/2025"/>
    <n v="20251231"/>
    <n v="4"/>
    <s v="USD"/>
    <s v=""/>
    <s v=""/>
    <n v="11778000000"/>
  </r>
  <r>
    <x v="47"/>
    <x v="5"/>
    <s v="us-gaap/2025"/>
    <n v="20251231"/>
    <n v="0"/>
    <s v="USD"/>
    <s v=""/>
    <s v=""/>
    <n v="3884905000"/>
  </r>
  <r>
    <x v="53"/>
    <x v="1"/>
    <s v="us-gaap/2025"/>
    <n v="20251231"/>
    <n v="0"/>
    <s v="USD"/>
    <s v=""/>
    <s v=""/>
    <n v="84073663000"/>
  </r>
  <r>
    <x v="54"/>
    <x v="4"/>
    <s v="us-gaap/2025"/>
    <n v="20251231"/>
    <n v="4"/>
    <s v="USD"/>
    <s v=""/>
    <s v=""/>
    <n v="34394000"/>
  </r>
  <r>
    <x v="16"/>
    <x v="1"/>
    <s v="us-gaap/2025"/>
    <n v="20251231"/>
    <n v="0"/>
    <s v="USD"/>
    <s v=""/>
    <s v=""/>
    <n v="177132700000"/>
  </r>
  <r>
    <x v="53"/>
    <x v="5"/>
    <s v="us-gaap/2025"/>
    <n v="20251231"/>
    <n v="0"/>
    <s v="USD"/>
    <s v=""/>
    <s v=""/>
    <n v="9492236000"/>
  </r>
  <r>
    <x v="31"/>
    <x v="1"/>
    <s v="us-gaap/2025"/>
    <n v="20251231"/>
    <n v="0"/>
    <s v="USD"/>
    <s v=""/>
    <s v=""/>
    <n v="9870980000"/>
  </r>
  <r>
    <x v="33"/>
    <x v="3"/>
    <s v="us-gaap/2025"/>
    <n v="20251231"/>
    <n v="4"/>
    <s v="USD"/>
    <s v=""/>
    <s v=""/>
    <n v="3.72"/>
  </r>
  <r>
    <x v="55"/>
    <x v="3"/>
    <s v="us-gaap/2025"/>
    <n v="20251231"/>
    <n v="4"/>
    <s v="USD"/>
    <s v=""/>
    <s v=""/>
    <n v="11.18"/>
  </r>
  <r>
    <x v="33"/>
    <x v="2"/>
    <s v="us-gaap/2025"/>
    <n v="20251231"/>
    <n v="4"/>
    <s v="USD"/>
    <s v=""/>
    <s v=""/>
    <n v="470572000"/>
  </r>
  <r>
    <x v="56"/>
    <x v="4"/>
    <s v="us-gaap/2025"/>
    <n v="20251231"/>
    <n v="4"/>
    <s v="USD"/>
    <s v=""/>
    <s v=""/>
    <n v="111048000"/>
  </r>
  <r>
    <x v="23"/>
    <x v="1"/>
    <s v="us-gaap/2024"/>
    <n v="20251231"/>
    <n v="0"/>
    <s v="USD"/>
    <s v=""/>
    <s v=""/>
    <n v="7409241000"/>
  </r>
  <r>
    <x v="23"/>
    <x v="5"/>
    <s v="us-gaap/2024"/>
    <n v="20251231"/>
    <n v="0"/>
    <s v="USD"/>
    <s v=""/>
    <s v=""/>
    <n v="592581000"/>
  </r>
  <r>
    <x v="32"/>
    <x v="3"/>
    <s v="us-gaap/2025"/>
    <n v="20251231"/>
    <n v="4"/>
    <s v="USD"/>
    <s v=""/>
    <s v=""/>
    <n v="4.0199999999999996"/>
  </r>
  <r>
    <x v="57"/>
    <x v="5"/>
    <s v="us-gaap/2025"/>
    <n v="20251231"/>
    <n v="0"/>
    <s v="USD"/>
    <s v=""/>
    <s v=""/>
    <n v="3565728000"/>
  </r>
  <r>
    <x v="51"/>
    <x v="1"/>
    <s v="us-gaap/2025"/>
    <n v="20251231"/>
    <n v="0"/>
    <s v="USD"/>
    <s v=""/>
    <s v=""/>
    <n v="226351000000"/>
  </r>
  <r>
    <x v="25"/>
    <x v="0"/>
    <s v="us-gaap/2025"/>
    <n v="20251231"/>
    <n v="0"/>
    <s v="USD"/>
    <s v=""/>
    <s v=""/>
    <n v="5748360000"/>
  </r>
  <r>
    <x v="25"/>
    <x v="4"/>
    <s v="us-gaap/2025"/>
    <n v="20251231"/>
    <n v="4"/>
    <s v="USD"/>
    <s v=""/>
    <s v=""/>
    <n v="-150482000"/>
  </r>
  <r>
    <x v="37"/>
    <x v="3"/>
    <s v="us-gaap/2025"/>
    <n v="20251231"/>
    <n v="4"/>
    <s v="USD"/>
    <s v=""/>
    <s v=""/>
    <n v="2.4300000000000002"/>
  </r>
  <r>
    <x v="37"/>
    <x v="0"/>
    <s v="us-gaap/2025"/>
    <n v="20251231"/>
    <n v="0"/>
    <s v="USD"/>
    <s v=""/>
    <s v=""/>
    <n v="1536327000"/>
  </r>
  <r>
    <x v="37"/>
    <x v="5"/>
    <s v="us-gaap/2025"/>
    <n v="20251231"/>
    <n v="0"/>
    <s v="USD"/>
    <s v=""/>
    <s v=""/>
    <n v="80864000"/>
  </r>
  <r>
    <x v="48"/>
    <x v="3"/>
    <s v="us-gaap/2024"/>
    <n v="20251231"/>
    <n v="4"/>
    <s v="USD"/>
    <s v=""/>
    <s v=""/>
    <n v="3.61"/>
  </r>
  <r>
    <x v="38"/>
    <x v="2"/>
    <s v="us-gaap/2025"/>
    <n v="20251231"/>
    <n v="4"/>
    <s v="USD"/>
    <s v=""/>
    <s v=""/>
    <n v="3269853000"/>
  </r>
  <r>
    <x v="39"/>
    <x v="5"/>
    <s v="us-gaap/2025"/>
    <n v="20251231"/>
    <n v="0"/>
    <s v="USD"/>
    <s v=""/>
    <s v=""/>
    <n v="2769216000"/>
  </r>
  <r>
    <x v="41"/>
    <x v="5"/>
    <s v="us-gaap/2025"/>
    <n v="20251231"/>
    <n v="0"/>
    <s v="USD"/>
    <s v=""/>
    <s v=""/>
    <n v="2466667000"/>
  </r>
  <r>
    <x v="45"/>
    <x v="2"/>
    <s v="us-gaap/2025"/>
    <n v="20251231"/>
    <n v="4"/>
    <s v="USD"/>
    <s v=""/>
    <s v=""/>
    <n v="632688000"/>
  </r>
  <r>
    <x v="26"/>
    <x v="2"/>
    <s v="us-gaap/2025"/>
    <n v="20251231"/>
    <n v="4"/>
    <s v="USD"/>
    <s v=""/>
    <s v=""/>
    <n v="25307000000"/>
  </r>
  <r>
    <x v="27"/>
    <x v="2"/>
    <s v="us-gaap/2025"/>
    <n v="20251231"/>
    <n v="4"/>
    <s v="USD"/>
    <s v=""/>
    <s v=""/>
    <n v="3232484000"/>
  </r>
  <r>
    <x v="58"/>
    <x v="4"/>
    <s v="us-gaap/2025"/>
    <n v="20251231"/>
    <n v="4"/>
    <s v="USD"/>
    <s v=""/>
    <s v=""/>
    <n v="14306000000"/>
  </r>
  <r>
    <x v="58"/>
    <x v="5"/>
    <s v="us-gaap/2025"/>
    <n v="20251231"/>
    <n v="0"/>
    <s v="USD"/>
    <s v=""/>
    <s v=""/>
    <n v="212291000000"/>
  </r>
  <r>
    <x v="55"/>
    <x v="2"/>
    <s v="us-gaap/2025"/>
    <n v="20251231"/>
    <n v="4"/>
    <s v="USD"/>
    <s v=""/>
    <s v=""/>
    <n v="544540000"/>
  </r>
  <r>
    <x v="55"/>
    <x v="4"/>
    <s v="us-gaap/2025"/>
    <n v="20251231"/>
    <n v="4"/>
    <s v="USD"/>
    <s v=""/>
    <s v=""/>
    <n v="180073000"/>
  </r>
  <r>
    <x v="29"/>
    <x v="4"/>
    <s v="us-gaap/2025"/>
    <n v="20251231"/>
    <n v="4"/>
    <s v="USD"/>
    <s v=""/>
    <s v=""/>
    <n v="79208000"/>
  </r>
  <r>
    <x v="47"/>
    <x v="0"/>
    <s v="us-gaap/2025"/>
    <n v="20251231"/>
    <n v="0"/>
    <s v="USD"/>
    <s v=""/>
    <s v=""/>
    <n v="22866521000"/>
  </r>
  <r>
    <x v="34"/>
    <x v="2"/>
    <s v="us-gaap/2025"/>
    <n v="20251231"/>
    <n v="4"/>
    <s v="USD"/>
    <s v=""/>
    <s v=""/>
    <n v="114371000"/>
  </r>
  <r>
    <x v="34"/>
    <x v="5"/>
    <s v="us-gaap/2025"/>
    <n v="20251231"/>
    <n v="0"/>
    <s v="USD"/>
    <s v=""/>
    <s v=""/>
    <n v="175242000"/>
  </r>
  <r>
    <x v="53"/>
    <x v="2"/>
    <s v="us-gaap/2025"/>
    <n v="20251231"/>
    <n v="4"/>
    <s v="USD"/>
    <s v=""/>
    <s v=""/>
    <n v="4021508000"/>
  </r>
  <r>
    <x v="59"/>
    <x v="3"/>
    <s v="us-gaap/2025"/>
    <n v="20251231"/>
    <n v="4"/>
    <s v="USD"/>
    <s v=""/>
    <s v=""/>
    <n v="5.1100000000000003"/>
  </r>
  <r>
    <x v="60"/>
    <x v="3"/>
    <s v="us-gaap/2025"/>
    <n v="20251231"/>
    <n v="4"/>
    <s v="USD"/>
    <s v=""/>
    <s v=""/>
    <n v="2.62"/>
  </r>
  <r>
    <x v="60"/>
    <x v="4"/>
    <s v="us-gaap/2025"/>
    <n v="20251231"/>
    <n v="4"/>
    <s v="USD"/>
    <s v=""/>
    <s v=""/>
    <n v="328095000"/>
  </r>
  <r>
    <x v="59"/>
    <x v="2"/>
    <s v="us-gaap/2025"/>
    <n v="20251231"/>
    <n v="4"/>
    <s v="USD"/>
    <s v=""/>
    <s v=""/>
    <n v="1019688000"/>
  </r>
  <r>
    <x v="60"/>
    <x v="5"/>
    <s v="us-gaap/2025"/>
    <n v="20251231"/>
    <n v="0"/>
    <s v="USD"/>
    <s v=""/>
    <s v=""/>
    <n v="3638686000"/>
  </r>
  <r>
    <x v="61"/>
    <x v="0"/>
    <s v="us-gaap/2025"/>
    <n v="20251231"/>
    <n v="0"/>
    <s v="USD"/>
    <s v=""/>
    <s v=""/>
    <n v="146627414000"/>
  </r>
  <r>
    <x v="43"/>
    <x v="2"/>
    <s v="us-gaap/2025"/>
    <n v="20251231"/>
    <n v="4"/>
    <s v="USD"/>
    <s v=""/>
    <s v=""/>
    <n v="318091000"/>
  </r>
  <r>
    <x v="44"/>
    <x v="1"/>
    <s v="us-gaap/2025"/>
    <n v="20251231"/>
    <n v="0"/>
    <s v="USD"/>
    <s v=""/>
    <s v=""/>
    <n v="1530977000"/>
  </r>
  <r>
    <x v="51"/>
    <x v="0"/>
    <s v="us-gaap/2025"/>
    <n v="20251231"/>
    <n v="0"/>
    <s v="USD"/>
    <s v=""/>
    <s v=""/>
    <n v="200034000000"/>
  </r>
  <r>
    <x v="60"/>
    <x v="2"/>
    <s v="us-gaap/2025"/>
    <n v="20251231"/>
    <n v="4"/>
    <s v="USD"/>
    <s v=""/>
    <s v=""/>
    <n v="1382939000"/>
  </r>
  <r>
    <x v="62"/>
    <x v="2"/>
    <s v="us-gaap/2025"/>
    <n v="20251231"/>
    <n v="4"/>
    <s v="USD"/>
    <s v=""/>
    <s v=""/>
    <n v="1295797000"/>
  </r>
  <r>
    <x v="62"/>
    <x v="0"/>
    <s v="us-gaap/2025"/>
    <n v="20251231"/>
    <n v="0"/>
    <s v="USD"/>
    <s v=""/>
    <s v=""/>
    <n v="27764242000"/>
  </r>
  <r>
    <x v="54"/>
    <x v="1"/>
    <s v="us-gaap/2025"/>
    <n v="20251231"/>
    <n v="0"/>
    <s v="USD"/>
    <s v=""/>
    <s v=""/>
    <n v="3166303000"/>
  </r>
  <r>
    <x v="63"/>
    <x v="3"/>
    <s v="us-gaap/2025"/>
    <n v="20251231"/>
    <n v="4"/>
    <s v="USD"/>
    <s v=""/>
    <s v=""/>
    <n v="2.44"/>
  </r>
  <r>
    <x v="59"/>
    <x v="1"/>
    <s v="us-gaap/2025"/>
    <n v="20251231"/>
    <n v="0"/>
    <s v="USD"/>
    <s v=""/>
    <s v=""/>
    <n v="21314076000"/>
  </r>
  <r>
    <x v="63"/>
    <x v="2"/>
    <s v="us-gaap/2025"/>
    <n v="20251231"/>
    <n v="4"/>
    <s v="USD"/>
    <s v=""/>
    <s v=""/>
    <n v="255784000"/>
  </r>
  <r>
    <x v="63"/>
    <x v="0"/>
    <s v="us-gaap/2025"/>
    <n v="20251231"/>
    <n v="0"/>
    <s v="USD"/>
    <s v=""/>
    <s v=""/>
    <n v="4455892000"/>
  </r>
  <r>
    <x v="63"/>
    <x v="4"/>
    <s v="us-gaap/2025"/>
    <n v="20251231"/>
    <n v="4"/>
    <s v="USD"/>
    <s v=""/>
    <s v=""/>
    <n v="77008000"/>
  </r>
  <r>
    <x v="57"/>
    <x v="2"/>
    <s v="us-gaap/2025"/>
    <n v="20251231"/>
    <n v="4"/>
    <s v="USD"/>
    <s v=""/>
    <s v=""/>
    <n v="1022400000"/>
  </r>
  <r>
    <x v="57"/>
    <x v="4"/>
    <s v="us-gaap/2025"/>
    <n v="20251231"/>
    <n v="4"/>
    <s v="USD"/>
    <s v=""/>
    <s v=""/>
    <n v="205122000"/>
  </r>
  <r>
    <x v="58"/>
    <x v="3"/>
    <s v="us-gaap/2025"/>
    <n v="20251231"/>
    <n v="4"/>
    <s v="USD"/>
    <s v=""/>
    <s v=""/>
    <n v="7.11"/>
  </r>
  <r>
    <x v="44"/>
    <x v="3"/>
    <s v="us-gaap/2025"/>
    <n v="20251231"/>
    <n v="4"/>
    <s v="USD"/>
    <s v=""/>
    <s v=""/>
    <n v="0.99"/>
  </r>
  <r>
    <x v="64"/>
    <x v="5"/>
    <s v="us-gaap/2025"/>
    <n v="20251231"/>
    <n v="0"/>
    <s v="USD"/>
    <s v=""/>
    <s v=""/>
    <n v="5918646000"/>
  </r>
  <r>
    <x v="46"/>
    <x v="1"/>
    <s v="us-gaap/2025"/>
    <n v="20251231"/>
    <n v="0"/>
    <s v="USD"/>
    <s v=""/>
    <s v=""/>
    <n v="6974584000"/>
  </r>
  <r>
    <x v="65"/>
    <x v="3"/>
    <s v="us-gaap/2025"/>
    <n v="20251231"/>
    <n v="4"/>
    <s v="USD"/>
    <s v=""/>
    <s v=""/>
    <n v="2.59"/>
  </r>
  <r>
    <x v="65"/>
    <x v="4"/>
    <s v="us-gaap/2025"/>
    <n v="20251231"/>
    <n v="4"/>
    <s v="USD"/>
    <s v=""/>
    <s v=""/>
    <n v="56248000"/>
  </r>
  <r>
    <x v="64"/>
    <x v="1"/>
    <s v="us-gaap/2025"/>
    <n v="20251231"/>
    <n v="0"/>
    <s v="USD"/>
    <s v=""/>
    <s v=""/>
    <n v="52237501000"/>
  </r>
  <r>
    <x v="66"/>
    <x v="2"/>
    <s v="us-gaap/2025"/>
    <n v="20251231"/>
    <n v="4"/>
    <s v="USD"/>
    <s v=""/>
    <s v=""/>
    <n v="99005000"/>
  </r>
  <r>
    <x v="51"/>
    <x v="2"/>
    <s v="us-gaap/2025"/>
    <n v="20251231"/>
    <n v="4"/>
    <s v="USD"/>
    <s v=""/>
    <s v=""/>
    <n v="9663000000"/>
  </r>
  <r>
    <x v="51"/>
    <x v="4"/>
    <s v="us-gaap/2025"/>
    <n v="20251231"/>
    <n v="4"/>
    <s v="USD"/>
    <s v=""/>
    <s v=""/>
    <n v="1831000000"/>
  </r>
  <r>
    <x v="64"/>
    <x v="4"/>
    <s v="us-gaap/2025"/>
    <n v="20251231"/>
    <n v="4"/>
    <s v="USD"/>
    <s v=""/>
    <s v=""/>
    <n v="577990000"/>
  </r>
  <r>
    <x v="67"/>
    <x v="2"/>
    <s v="us-gaap/2025"/>
    <n v="20251231"/>
    <n v="4"/>
    <s v="USD"/>
    <s v=""/>
    <s v=""/>
    <n v="685442000"/>
  </r>
  <r>
    <x v="68"/>
    <x v="3"/>
    <s v="us-gaap/2025"/>
    <n v="20251231"/>
    <n v="4"/>
    <s v="USD"/>
    <s v=""/>
    <s v=""/>
    <n v="2.0299999999999998"/>
  </r>
  <r>
    <x v="68"/>
    <x v="4"/>
    <s v="us-gaap/2025"/>
    <n v="20251231"/>
    <n v="4"/>
    <s v="USD"/>
    <s v=""/>
    <s v=""/>
    <n v="273715000"/>
  </r>
  <r>
    <x v="17"/>
    <x v="0"/>
    <s v="us-gaap/2025"/>
    <n v="20251231"/>
    <n v="0"/>
    <s v="USD"/>
    <s v=""/>
    <s v=""/>
    <n v="482349000000"/>
  </r>
  <r>
    <x v="52"/>
    <x v="5"/>
    <s v="us-gaap/2025"/>
    <n v="20251231"/>
    <n v="0"/>
    <s v="USD"/>
    <s v=""/>
    <s v=""/>
    <n v="22238000000"/>
  </r>
  <r>
    <x v="53"/>
    <x v="3"/>
    <s v="us-gaap/2025"/>
    <n v="20251231"/>
    <n v="4"/>
    <s v="USD"/>
    <s v=""/>
    <s v=""/>
    <n v="5.91"/>
  </r>
  <r>
    <x v="53"/>
    <x v="4"/>
    <s v="us-gaap/2025"/>
    <n v="20251231"/>
    <n v="4"/>
    <s v="USD"/>
    <s v=""/>
    <s v=""/>
    <n v="1002802000"/>
  </r>
  <r>
    <x v="66"/>
    <x v="1"/>
    <s v="us-gaap/2025"/>
    <n v="20251231"/>
    <n v="0"/>
    <s v="USD"/>
    <s v=""/>
    <s v=""/>
    <n v="1888626000"/>
  </r>
  <r>
    <x v="56"/>
    <x v="1"/>
    <s v="us-gaap/2025"/>
    <n v="20251231"/>
    <n v="0"/>
    <s v="USD"/>
    <s v=""/>
    <s v=""/>
    <n v="12668339000"/>
  </r>
  <r>
    <x v="56"/>
    <x v="3"/>
    <s v="us-gaap/2025"/>
    <n v="20251231"/>
    <n v="4"/>
    <s v="USD"/>
    <s v=""/>
    <s v=""/>
    <n v="2.68"/>
  </r>
  <r>
    <x v="56"/>
    <x v="2"/>
    <s v="us-gaap/2025"/>
    <n v="20251231"/>
    <n v="4"/>
    <s v="USD"/>
    <s v=""/>
    <s v=""/>
    <n v="557235000"/>
  </r>
  <r>
    <x v="69"/>
    <x v="4"/>
    <s v="us-gaap/2025"/>
    <n v="20251231"/>
    <n v="4"/>
    <s v="USD"/>
    <s v=""/>
    <s v=""/>
    <n v="550000000"/>
  </r>
  <r>
    <x v="70"/>
    <x v="2"/>
    <s v="us-gaap/2025"/>
    <n v="20251231"/>
    <n v="4"/>
    <s v="USD"/>
    <s v=""/>
    <s v=""/>
    <n v="97658000"/>
  </r>
  <r>
    <x v="55"/>
    <x v="0"/>
    <s v="us-gaap/2025"/>
    <n v="20251231"/>
    <n v="0"/>
    <s v="USD"/>
    <s v=""/>
    <s v=""/>
    <n v="8452220000"/>
  </r>
  <r>
    <x v="61"/>
    <x v="4"/>
    <s v="us-gaap/2025"/>
    <n v="20251231"/>
    <n v="4"/>
    <s v="USD"/>
    <s v=""/>
    <s v=""/>
    <n v="1645158000"/>
  </r>
  <r>
    <x v="61"/>
    <x v="5"/>
    <s v="us-gaap/2025"/>
    <n v="20251231"/>
    <n v="0"/>
    <s v="USD"/>
    <s v=""/>
    <s v=""/>
    <n v="15944707000"/>
  </r>
  <r>
    <x v="59"/>
    <x v="4"/>
    <s v="us-gaap/2025"/>
    <n v="20251231"/>
    <n v="4"/>
    <s v="USD"/>
    <s v=""/>
    <s v=""/>
    <n v="287349000"/>
  </r>
  <r>
    <x v="66"/>
    <x v="0"/>
    <s v="us-gaap/2025"/>
    <n v="20251231"/>
    <n v="0"/>
    <s v="USD"/>
    <s v=""/>
    <s v=""/>
    <n v="1699787000"/>
  </r>
  <r>
    <x v="58"/>
    <x v="0"/>
    <s v="us-gaap/2025"/>
    <n v="20251231"/>
    <n v="0"/>
    <s v="USD"/>
    <s v=""/>
    <s v=""/>
    <n v="2443380000000"/>
  </r>
  <r>
    <x v="71"/>
    <x v="0"/>
    <s v="us-gaap/2025"/>
    <n v="20251231"/>
    <n v="0"/>
    <s v="USD"/>
    <s v=""/>
    <s v=""/>
    <n v="1978052000"/>
  </r>
  <r>
    <x v="69"/>
    <x v="3"/>
    <s v="us-gaap/2025"/>
    <n v="20251231"/>
    <n v="4"/>
    <s v="USD"/>
    <s v=""/>
    <s v=""/>
    <n v="2.31"/>
  </r>
  <r>
    <x v="69"/>
    <x v="2"/>
    <s v="us-gaap/2025"/>
    <n v="20251231"/>
    <n v="4"/>
    <s v="USD"/>
    <s v=""/>
    <s v=""/>
    <n v="2916000000"/>
  </r>
  <r>
    <x v="71"/>
    <x v="5"/>
    <s v="us-gaap/2025"/>
    <n v="20251231"/>
    <n v="0"/>
    <s v="USD"/>
    <s v=""/>
    <s v=""/>
    <n v="231396000"/>
  </r>
  <r>
    <x v="67"/>
    <x v="1"/>
    <s v="us-gaap/2025"/>
    <n v="20251231"/>
    <n v="0"/>
    <s v="USD"/>
    <s v=""/>
    <s v=""/>
    <n v="15341631000"/>
  </r>
  <r>
    <x v="67"/>
    <x v="5"/>
    <s v="us-gaap/2025"/>
    <n v="20251231"/>
    <n v="0"/>
    <s v="USD"/>
    <s v=""/>
    <s v=""/>
    <n v="1475769000"/>
  </r>
  <r>
    <x v="72"/>
    <x v="2"/>
    <s v="us-gaap/2025"/>
    <n v="20251231"/>
    <n v="4"/>
    <s v="USD"/>
    <s v=""/>
    <s v=""/>
    <n v="1178000000"/>
  </r>
  <r>
    <x v="72"/>
    <x v="0"/>
    <s v="us-gaap/2025"/>
    <n v="20251231"/>
    <n v="0"/>
    <s v="USD"/>
    <s v=""/>
    <s v=""/>
    <n v="23193600000"/>
  </r>
  <r>
    <x v="72"/>
    <x v="4"/>
    <s v="us-gaap/2025"/>
    <n v="20251231"/>
    <n v="4"/>
    <s v="USD"/>
    <s v=""/>
    <s v=""/>
    <n v="302100000"/>
  </r>
  <r>
    <x v="72"/>
    <x v="5"/>
    <s v="us-gaap/2025"/>
    <n v="20251231"/>
    <n v="0"/>
    <s v="USD"/>
    <s v=""/>
    <s v=""/>
    <n v="3447000000"/>
  </r>
  <r>
    <x v="19"/>
    <x v="4"/>
    <s v="us-gaap/2025"/>
    <n v="20251231"/>
    <n v="4"/>
    <s v="USD"/>
    <s v=""/>
    <s v=""/>
    <n v="899000000"/>
  </r>
  <r>
    <x v="19"/>
    <x v="5"/>
    <s v="us-gaap/2025"/>
    <n v="20251231"/>
    <n v="0"/>
    <s v="USD"/>
    <s v=""/>
    <s v=""/>
    <n v="7180000000"/>
  </r>
  <r>
    <x v="64"/>
    <x v="3"/>
    <s v="us-gaap/2025"/>
    <n v="20251231"/>
    <n v="4"/>
    <s v="USD"/>
    <s v=""/>
    <s v=""/>
    <n v="9.17"/>
  </r>
  <r>
    <x v="64"/>
    <x v="0"/>
    <s v="us-gaap/2025"/>
    <n v="20251231"/>
    <n v="0"/>
    <s v="USD"/>
    <s v=""/>
    <s v=""/>
    <n v="46316821000"/>
  </r>
  <r>
    <x v="73"/>
    <x v="4"/>
    <s v="us-gaap/2025"/>
    <n v="20251231"/>
    <n v="4"/>
    <s v="USD"/>
    <s v=""/>
    <s v=""/>
    <n v="57951000"/>
  </r>
  <r>
    <x v="66"/>
    <x v="3"/>
    <s v="us-gaap/2025"/>
    <n v="20251231"/>
    <n v="4"/>
    <s v="USD"/>
    <s v=""/>
    <s v=""/>
    <n v="1.59"/>
  </r>
  <r>
    <x v="68"/>
    <x v="5"/>
    <s v="us-gaap/2025"/>
    <n v="20251231"/>
    <n v="0"/>
    <s v="USD"/>
    <s v=""/>
    <s v=""/>
    <n v="5006398000"/>
  </r>
  <r>
    <x v="74"/>
    <x v="3"/>
    <s v="us-gaap/2025"/>
    <n v="20251231"/>
    <n v="4"/>
    <s v="USD"/>
    <s v=""/>
    <s v=""/>
    <n v="8.2899999999999991"/>
  </r>
  <r>
    <x v="59"/>
    <x v="5"/>
    <s v="us-gaap/2025"/>
    <n v="20251231"/>
    <n v="0"/>
    <s v="USD"/>
    <s v=""/>
    <s v=""/>
    <n v="2738545000"/>
  </r>
  <r>
    <x v="69"/>
    <x v="5"/>
    <s v="us-gaap/2025"/>
    <n v="20251231"/>
    <n v="0"/>
    <s v="USD"/>
    <s v=""/>
    <s v=""/>
    <n v="7840000000"/>
  </r>
  <r>
    <x v="70"/>
    <x v="0"/>
    <s v="us-gaap/2025"/>
    <n v="20251231"/>
    <n v="0"/>
    <s v="USD"/>
    <s v=""/>
    <s v=""/>
    <n v="1720621000"/>
  </r>
  <r>
    <x v="70"/>
    <x v="5"/>
    <s v="us-gaap/2025"/>
    <n v="20251231"/>
    <n v="0"/>
    <s v="USD"/>
    <s v=""/>
    <s v=""/>
    <n v="174229000"/>
  </r>
  <r>
    <x v="71"/>
    <x v="3"/>
    <s v="us-gaap/2025"/>
    <n v="20251231"/>
    <n v="4"/>
    <s v="USD"/>
    <s v=""/>
    <s v=""/>
    <n v="2.56"/>
  </r>
  <r>
    <x v="71"/>
    <x v="2"/>
    <s v="us-gaap/2025"/>
    <n v="20251231"/>
    <n v="4"/>
    <s v="USD"/>
    <s v=""/>
    <s v=""/>
    <n v="96035000"/>
  </r>
  <r>
    <x v="75"/>
    <x v="0"/>
    <s v="us-gaap/2025"/>
    <n v="20251231"/>
    <n v="0"/>
    <s v="USD"/>
    <s v=""/>
    <s v=""/>
    <n v="12901767000"/>
  </r>
  <r>
    <x v="2"/>
    <x v="2"/>
    <s v="us-gaap/2025"/>
    <n v="20251231"/>
    <n v="4"/>
    <s v="USD"/>
    <s v=""/>
    <s v=""/>
    <n v="514394000"/>
  </r>
  <r>
    <x v="76"/>
    <x v="4"/>
    <s v="us-gaap/2025"/>
    <n v="20251231"/>
    <n v="4"/>
    <s v="USD"/>
    <s v=""/>
    <s v=""/>
    <n v="161071000"/>
  </r>
  <r>
    <x v="50"/>
    <x v="0"/>
    <s v="us-gaap/2025"/>
    <n v="20251231"/>
    <n v="0"/>
    <s v="USD"/>
    <s v=""/>
    <s v=""/>
    <n v="23439851000"/>
  </r>
  <r>
    <x v="77"/>
    <x v="2"/>
    <s v="us-gaap/2025"/>
    <n v="20251231"/>
    <n v="4"/>
    <s v="USD"/>
    <s v=""/>
    <s v=""/>
    <n v="126528000"/>
  </r>
  <r>
    <x v="78"/>
    <x v="3"/>
    <s v="us-gaap/2025"/>
    <n v="20251231"/>
    <n v="4"/>
    <s v="USD"/>
    <s v=""/>
    <s v=""/>
    <n v="11.57"/>
  </r>
  <r>
    <x v="75"/>
    <x v="2"/>
    <s v="us-gaap/2025"/>
    <n v="20251231"/>
    <n v="4"/>
    <s v="USD"/>
    <s v=""/>
    <s v=""/>
    <n v="642454000"/>
  </r>
  <r>
    <x v="78"/>
    <x v="0"/>
    <s v="us-gaap/2025"/>
    <n v="20251231"/>
    <n v="0"/>
    <s v="USD"/>
    <s v=""/>
    <s v=""/>
    <n v="63883331000"/>
  </r>
  <r>
    <x v="72"/>
    <x v="1"/>
    <s v="us-gaap/2025"/>
    <n v="20251231"/>
    <n v="0"/>
    <s v="USD"/>
    <s v=""/>
    <s v=""/>
    <n v="26640600000"/>
  </r>
  <r>
    <x v="3"/>
    <x v="3"/>
    <s v="us-gaap/2025"/>
    <n v="20251231"/>
    <n v="4"/>
    <s v="USD"/>
    <s v=""/>
    <s v=""/>
    <n v="3.56"/>
  </r>
  <r>
    <x v="33"/>
    <x v="1"/>
    <s v="us-gaap/2025"/>
    <n v="20251231"/>
    <n v="0"/>
    <s v="USD"/>
    <s v=""/>
    <s v=""/>
    <n v="9822063000"/>
  </r>
  <r>
    <x v="3"/>
    <x v="5"/>
    <s v="us-gaap/2025"/>
    <n v="20251231"/>
    <n v="0"/>
    <s v="USD"/>
    <s v=""/>
    <s v=""/>
    <n v="21724000000"/>
  </r>
  <r>
    <x v="77"/>
    <x v="0"/>
    <s v="us-gaap/2025"/>
    <n v="20251231"/>
    <n v="0"/>
    <s v="USD"/>
    <s v=""/>
    <s v=""/>
    <n v="2182685000"/>
  </r>
  <r>
    <x v="62"/>
    <x v="3"/>
    <s v="us-gaap/2025"/>
    <n v="20251231"/>
    <n v="4"/>
    <s v="USD"/>
    <s v=""/>
    <s v=""/>
    <n v="2"/>
  </r>
  <r>
    <x v="79"/>
    <x v="3"/>
    <s v="us-gaap/2025"/>
    <n v="20251231"/>
    <n v="4"/>
    <s v="USD"/>
    <s v=""/>
    <s v=""/>
    <n v="4.5999999999999996"/>
  </r>
  <r>
    <x v="74"/>
    <x v="5"/>
    <s v="us-gaap/2025"/>
    <n v="20251231"/>
    <n v="0"/>
    <s v="USD"/>
    <s v=""/>
    <s v=""/>
    <n v="261753000"/>
  </r>
  <r>
    <x v="37"/>
    <x v="4"/>
    <s v="us-gaap/2025"/>
    <n v="20251231"/>
    <n v="4"/>
    <s v="USD"/>
    <s v=""/>
    <s v=""/>
    <n v="11080000"/>
  </r>
  <r>
    <x v="38"/>
    <x v="1"/>
    <s v="us-gaap/2025"/>
    <n v="20251231"/>
    <n v="0"/>
    <s v="USD"/>
    <s v=""/>
    <s v=""/>
    <n v="72151967000"/>
  </r>
  <r>
    <x v="80"/>
    <x v="5"/>
    <s v="us-gaap/2025"/>
    <n v="20251231"/>
    <n v="0"/>
    <s v="USD"/>
    <s v=""/>
    <s v=""/>
    <n v="1946297000"/>
  </r>
  <r>
    <x v="81"/>
    <x v="3"/>
    <s v="us-gaap/2025"/>
    <n v="20251231"/>
    <n v="4"/>
    <s v="USD"/>
    <s v=""/>
    <s v=""/>
    <n v="1.78"/>
  </r>
  <r>
    <x v="39"/>
    <x v="4"/>
    <s v="us-gaap/2025"/>
    <n v="20251231"/>
    <n v="4"/>
    <s v="USD"/>
    <s v=""/>
    <s v=""/>
    <n v="255605000"/>
  </r>
  <r>
    <x v="4"/>
    <x v="4"/>
    <s v="us-gaap/2025"/>
    <n v="20251231"/>
    <n v="4"/>
    <s v="USD"/>
    <s v=""/>
    <s v=""/>
    <n v="7570000000"/>
  </r>
  <r>
    <x v="73"/>
    <x v="3"/>
    <s v="us-gaap/2025"/>
    <n v="20251231"/>
    <n v="4"/>
    <s v="USD"/>
    <s v=""/>
    <s v=""/>
    <n v="5.78"/>
  </r>
  <r>
    <x v="64"/>
    <x v="2"/>
    <s v="us-gaap/2025"/>
    <n v="20251231"/>
    <n v="4"/>
    <s v="USD"/>
    <s v=""/>
    <s v=""/>
    <n v="2531268000"/>
  </r>
  <r>
    <x v="73"/>
    <x v="0"/>
    <s v="us-gaap/2025"/>
    <n v="20251231"/>
    <n v="0"/>
    <s v="USD"/>
    <s v=""/>
    <s v=""/>
    <n v="2621021000"/>
  </r>
  <r>
    <x v="76"/>
    <x v="1"/>
    <s v="us-gaap/2025"/>
    <n v="20251231"/>
    <n v="0"/>
    <s v="USD"/>
    <s v=""/>
    <s v=""/>
    <n v="8668268000"/>
  </r>
  <r>
    <x v="27"/>
    <x v="5"/>
    <s v="us-gaap/2025"/>
    <n v="20251231"/>
    <n v="0"/>
    <s v="USD"/>
    <s v=""/>
    <s v=""/>
    <n v="7807698000"/>
  </r>
  <r>
    <x v="77"/>
    <x v="1"/>
    <s v="us-gaap/2025"/>
    <n v="20251231"/>
    <n v="0"/>
    <s v="USD"/>
    <s v=""/>
    <s v=""/>
    <n v="2424842000"/>
  </r>
  <r>
    <x v="77"/>
    <x v="4"/>
    <s v="us-gaap/2025"/>
    <n v="20251231"/>
    <n v="4"/>
    <s v="USD"/>
    <s v=""/>
    <s v=""/>
    <n v="27755000"/>
  </r>
  <r>
    <x v="5"/>
    <x v="0"/>
    <s v="us-gaap/2025"/>
    <n v="20251231"/>
    <n v="0"/>
    <s v="USD"/>
    <s v=""/>
    <s v=""/>
    <n v="184333000000"/>
  </r>
  <r>
    <x v="29"/>
    <x v="1"/>
    <s v="us-gaap/2025"/>
    <n v="20251231"/>
    <n v="0"/>
    <s v="USD"/>
    <s v=""/>
    <s v=""/>
    <n v="5756126000"/>
  </r>
  <r>
    <x v="29"/>
    <x v="0"/>
    <s v="us-gaap/2025"/>
    <n v="20251231"/>
    <n v="0"/>
    <s v="USD"/>
    <s v=""/>
    <s v=""/>
    <n v="5105257000"/>
  </r>
  <r>
    <x v="82"/>
    <x v="5"/>
    <s v="us-gaap/2025"/>
    <n v="20251231"/>
    <n v="0"/>
    <s v="USD"/>
    <s v=""/>
    <s v=""/>
    <n v="113616000000"/>
  </r>
  <r>
    <x v="30"/>
    <x v="1"/>
    <s v="us-gaap/2025"/>
    <n v="20251231"/>
    <n v="0"/>
    <s v="USD"/>
    <s v=""/>
    <s v=""/>
    <n v="4445862000"/>
  </r>
  <r>
    <x v="30"/>
    <x v="3"/>
    <s v="us-gaap/2025"/>
    <n v="20251231"/>
    <n v="4"/>
    <s v="USD"/>
    <s v=""/>
    <s v=""/>
    <n v="2.65"/>
  </r>
  <r>
    <x v="31"/>
    <x v="3"/>
    <s v="us-gaap/2025"/>
    <n v="20251231"/>
    <n v="4"/>
    <s v="USD"/>
    <s v=""/>
    <s v=""/>
    <n v="3.51"/>
  </r>
  <r>
    <x v="31"/>
    <x v="0"/>
    <s v="us-gaap/2025"/>
    <n v="20251231"/>
    <n v="0"/>
    <s v="USD"/>
    <s v=""/>
    <s v=""/>
    <n v="8407103000"/>
  </r>
  <r>
    <x v="83"/>
    <x v="4"/>
    <s v="us-gaap/2025"/>
    <n v="20251231"/>
    <n v="4"/>
    <s v="USD"/>
    <s v=""/>
    <s v=""/>
    <n v="-138052000"/>
  </r>
  <r>
    <x v="68"/>
    <x v="1"/>
    <s v="us-gaap/2025"/>
    <n v="20251231"/>
    <n v="0"/>
    <s v="USD"/>
    <s v=""/>
    <s v=""/>
    <n v="37585754000"/>
  </r>
  <r>
    <x v="83"/>
    <x v="1"/>
    <s v="us-gaap/2025"/>
    <n v="20251231"/>
    <n v="0"/>
    <s v="USD"/>
    <s v=""/>
    <s v=""/>
    <n v="10497203000"/>
  </r>
  <r>
    <x v="48"/>
    <x v="0"/>
    <s v="us-gaap/2024"/>
    <n v="20251231"/>
    <n v="0"/>
    <s v="USD"/>
    <s v=""/>
    <s v=""/>
    <n v="3832914000"/>
  </r>
  <r>
    <x v="48"/>
    <x v="4"/>
    <s v="us-gaap/2024"/>
    <n v="20251231"/>
    <n v="4"/>
    <s v="USD"/>
    <s v=""/>
    <s v=""/>
    <n v="61557000"/>
  </r>
  <r>
    <x v="79"/>
    <x v="0"/>
    <s v="us-gaap/2025"/>
    <n v="20251231"/>
    <n v="0"/>
    <s v="USD"/>
    <s v=""/>
    <s v=""/>
    <n v="11075652000"/>
  </r>
  <r>
    <x v="84"/>
    <x v="0"/>
    <s v="us-gaap/2025"/>
    <n v="20251231"/>
    <n v="0"/>
    <s v="USD"/>
    <s v=""/>
    <s v=""/>
    <n v="17166027000"/>
  </r>
  <r>
    <x v="84"/>
    <x v="4"/>
    <s v="us-gaap/2025"/>
    <n v="20251231"/>
    <n v="4"/>
    <s v="USD"/>
    <s v=""/>
    <s v=""/>
    <n v="344866000"/>
  </r>
  <r>
    <x v="69"/>
    <x v="1"/>
    <s v="us-gaap/2025"/>
    <n v="20251231"/>
    <n v="0"/>
    <s v="USD"/>
    <s v=""/>
    <s v=""/>
    <n v="66832000000"/>
  </r>
  <r>
    <x v="80"/>
    <x v="1"/>
    <s v="us-gaap/2025"/>
    <n v="20251231"/>
    <n v="0"/>
    <s v="USD"/>
    <s v=""/>
    <s v=""/>
    <n v="16354488000"/>
  </r>
  <r>
    <x v="80"/>
    <x v="6"/>
    <s v="us-gaap/2025"/>
    <n v="20251231"/>
    <n v="4"/>
    <s v="USD"/>
    <s v=""/>
    <s v=""/>
    <n v="804955000"/>
  </r>
  <r>
    <x v="81"/>
    <x v="5"/>
    <s v="us-gaap/2025"/>
    <n v="20251231"/>
    <n v="0"/>
    <s v="USD"/>
    <s v=""/>
    <s v=""/>
    <n v="589873000"/>
  </r>
  <r>
    <x v="43"/>
    <x v="5"/>
    <s v="us-gaap/2025"/>
    <n v="20251231"/>
    <n v="0"/>
    <s v="USD"/>
    <s v=""/>
    <s v=""/>
    <n v="543584000"/>
  </r>
  <r>
    <x v="85"/>
    <x v="2"/>
    <s v="us-gaap/2025"/>
    <n v="20251231"/>
    <n v="4"/>
    <s v="USD"/>
    <s v=""/>
    <s v=""/>
    <n v="1771785000"/>
  </r>
  <r>
    <x v="86"/>
    <x v="3"/>
    <s v="us-gaap/2025"/>
    <n v="20251231"/>
    <n v="4"/>
    <s v="USD"/>
    <s v=""/>
    <s v=""/>
    <n v="6.4"/>
  </r>
  <r>
    <x v="86"/>
    <x v="0"/>
    <s v="us-gaap/2025"/>
    <n v="20251231"/>
    <n v="0"/>
    <s v="USD"/>
    <s v=""/>
    <s v=""/>
    <n v="2985760000"/>
  </r>
  <r>
    <x v="84"/>
    <x v="3"/>
    <s v="us-gaap/2025"/>
    <n v="20251231"/>
    <n v="4"/>
    <s v="USD"/>
    <s v=""/>
    <s v=""/>
    <n v="2.16"/>
  </r>
  <r>
    <x v="63"/>
    <x v="5"/>
    <s v="us-gaap/2025"/>
    <n v="20251231"/>
    <n v="0"/>
    <s v="USD"/>
    <s v=""/>
    <s v=""/>
    <n v="615498000"/>
  </r>
  <r>
    <x v="57"/>
    <x v="1"/>
    <s v="us-gaap/2025"/>
    <n v="20251231"/>
    <n v="0"/>
    <s v="USD"/>
    <s v=""/>
    <s v=""/>
    <n v="24912896000"/>
  </r>
  <r>
    <x v="57"/>
    <x v="3"/>
    <s v="us-gaap/2025"/>
    <n v="20251231"/>
    <n v="4"/>
    <s v="USD"/>
    <s v=""/>
    <s v=""/>
    <n v="4.4400000000000004"/>
  </r>
  <r>
    <x v="87"/>
    <x v="0"/>
    <s v="us-gaap/2025"/>
    <n v="20251231"/>
    <n v="0"/>
    <s v="USD"/>
    <s v=""/>
    <s v=""/>
    <n v="15261498000"/>
  </r>
  <r>
    <x v="79"/>
    <x v="1"/>
    <s v="us-gaap/2025"/>
    <n v="20251231"/>
    <n v="0"/>
    <s v="USD"/>
    <s v=""/>
    <s v=""/>
    <n v="12465657000"/>
  </r>
  <r>
    <x v="79"/>
    <x v="2"/>
    <s v="us-gaap/2025"/>
    <n v="20251231"/>
    <n v="4"/>
    <s v="USD"/>
    <s v=""/>
    <s v=""/>
    <n v="780936000"/>
  </r>
  <r>
    <x v="79"/>
    <x v="4"/>
    <s v="us-gaap/2025"/>
    <n v="20251231"/>
    <n v="4"/>
    <s v="USD"/>
    <s v=""/>
    <s v=""/>
    <n v="205103000"/>
  </r>
  <r>
    <x v="52"/>
    <x v="1"/>
    <s v="us-gaap/2025"/>
    <n v="20251231"/>
    <n v="0"/>
    <s v="USD"/>
    <s v=""/>
    <s v=""/>
    <n v="229698000000"/>
  </r>
  <r>
    <x v="7"/>
    <x v="3"/>
    <s v="us-gaap/2025"/>
    <n v="20251231"/>
    <n v="4"/>
    <s v="USD"/>
    <s v=""/>
    <s v=""/>
    <n v="1.57"/>
  </r>
  <r>
    <x v="88"/>
    <x v="3"/>
    <s v="us-gaap/2025"/>
    <n v="20251231"/>
    <n v="4"/>
    <s v="USD"/>
    <s v=""/>
    <s v=""/>
    <n v="9.58"/>
  </r>
  <r>
    <x v="73"/>
    <x v="1"/>
    <s v="us-gaap/2025"/>
    <n v="20251231"/>
    <n v="0"/>
    <s v="USD"/>
    <s v=""/>
    <s v=""/>
    <n v="2966652000"/>
  </r>
  <r>
    <x v="73"/>
    <x v="2"/>
    <s v="us-gaap/2025"/>
    <n v="20251231"/>
    <n v="4"/>
    <s v="USD"/>
    <s v=""/>
    <s v=""/>
    <n v="173628000"/>
  </r>
  <r>
    <x v="73"/>
    <x v="5"/>
    <s v="us-gaap/2025"/>
    <n v="20251231"/>
    <n v="0"/>
    <s v="USD"/>
    <s v=""/>
    <s v=""/>
    <n v="345631000"/>
  </r>
  <r>
    <x v="85"/>
    <x v="4"/>
    <s v="us-gaap/2025"/>
    <n v="20251231"/>
    <n v="4"/>
    <s v="USD"/>
    <s v=""/>
    <s v=""/>
    <n v="330244000"/>
  </r>
  <r>
    <x v="8"/>
    <x v="0"/>
    <s v="us-gaap/2025"/>
    <n v="20251231"/>
    <n v="0"/>
    <s v="USD"/>
    <s v=""/>
    <s v=""/>
    <n v="48468388000"/>
  </r>
  <r>
    <x v="8"/>
    <x v="4"/>
    <s v="us-gaap/2025"/>
    <n v="20251231"/>
    <n v="4"/>
    <s v="USD"/>
    <s v=""/>
    <s v=""/>
    <n v="648557000"/>
  </r>
  <r>
    <x v="10"/>
    <x v="4"/>
    <s v="us-gaap/2025"/>
    <n v="20251231"/>
    <n v="4"/>
    <s v="USD"/>
    <s v=""/>
    <s v=""/>
    <n v="852000000"/>
  </r>
  <r>
    <x v="83"/>
    <x v="2"/>
    <s v="us-gaap/2025"/>
    <n v="20251231"/>
    <n v="4"/>
    <s v="USD"/>
    <s v=""/>
    <s v=""/>
    <n v="604482000"/>
  </r>
  <r>
    <x v="83"/>
    <x v="5"/>
    <s v="us-gaap/2025"/>
    <n v="20251231"/>
    <n v="0"/>
    <s v="USD"/>
    <s v=""/>
    <s v=""/>
    <n v="1131283000"/>
  </r>
  <r>
    <x v="89"/>
    <x v="5"/>
    <s v="us-gaap/2025"/>
    <n v="20251231"/>
    <n v="0"/>
    <s v="USD"/>
    <s v=""/>
    <s v=""/>
    <n v="2168401000"/>
  </r>
  <r>
    <x v="84"/>
    <x v="2"/>
    <s v="us-gaap/2025"/>
    <n v="20251231"/>
    <n v="4"/>
    <s v="USD"/>
    <s v=""/>
    <s v=""/>
    <n v="1123156000"/>
  </r>
  <r>
    <x v="90"/>
    <x v="0"/>
    <s v="us-gaap/2025"/>
    <n v="20251231"/>
    <n v="0"/>
    <s v="USD"/>
    <s v=""/>
    <s v=""/>
    <n v="58138304000"/>
  </r>
  <r>
    <x v="84"/>
    <x v="5"/>
    <s v="us-gaap/2025"/>
    <n v="20251231"/>
    <n v="0"/>
    <s v="USD"/>
    <s v=""/>
    <s v=""/>
    <n v="1966865000"/>
  </r>
  <r>
    <x v="89"/>
    <x v="3"/>
    <s v="us-gaap/2025"/>
    <n v="20251231"/>
    <n v="4"/>
    <s v="USD"/>
    <s v=""/>
    <s v=""/>
    <n v="2.64"/>
  </r>
  <r>
    <x v="91"/>
    <x v="4"/>
    <s v="us-gaap/2025"/>
    <n v="20251231"/>
    <n v="4"/>
    <s v="USD"/>
    <s v=""/>
    <s v=""/>
    <n v="46088000"/>
  </r>
  <r>
    <x v="92"/>
    <x v="2"/>
    <s v="us-gaap/2024"/>
    <n v="20251231"/>
    <n v="4"/>
    <s v="USD"/>
    <s v=""/>
    <s v=""/>
    <n v="355181000"/>
  </r>
  <r>
    <x v="58"/>
    <x v="1"/>
    <s v="us-gaap/2025"/>
    <n v="20251231"/>
    <n v="0"/>
    <s v="USD"/>
    <s v=""/>
    <s v=""/>
    <n v="2657202000000"/>
  </r>
  <r>
    <x v="58"/>
    <x v="2"/>
    <s v="us-gaap/2025"/>
    <n v="20251231"/>
    <n v="4"/>
    <s v="USD"/>
    <s v=""/>
    <s v=""/>
    <n v="142864000000"/>
  </r>
  <r>
    <x v="93"/>
    <x v="0"/>
    <s v="us-gaap/2025"/>
    <n v="20251231"/>
    <n v="0"/>
    <s v="USD"/>
    <s v=""/>
    <s v=""/>
    <n v="7512604000"/>
  </r>
  <r>
    <x v="94"/>
    <x v="4"/>
    <s v="us-gaap/2025"/>
    <n v="20251231"/>
    <n v="4"/>
    <s v="USD"/>
    <s v=""/>
    <s v=""/>
    <n v="109574000"/>
  </r>
  <r>
    <x v="94"/>
    <x v="5"/>
    <s v="us-gaap/2025"/>
    <n v="20251231"/>
    <n v="0"/>
    <s v="USD"/>
    <s v=""/>
    <s v=""/>
    <n v="1385114000"/>
  </r>
  <r>
    <x v="85"/>
    <x v="1"/>
    <s v="us-gaap/2025"/>
    <n v="20251231"/>
    <n v="0"/>
    <s v="USD"/>
    <s v=""/>
    <s v=""/>
    <n v="31540274000"/>
  </r>
  <r>
    <x v="85"/>
    <x v="3"/>
    <s v="us-gaap/2025"/>
    <n v="20251231"/>
    <n v="4"/>
    <s v="USD"/>
    <s v=""/>
    <s v=""/>
    <n v="6.86"/>
  </r>
  <r>
    <x v="71"/>
    <x v="1"/>
    <s v="us-gaap/2025"/>
    <n v="20251231"/>
    <n v="0"/>
    <s v="USD"/>
    <s v=""/>
    <s v=""/>
    <n v="2209448000"/>
  </r>
  <r>
    <x v="71"/>
    <x v="4"/>
    <s v="us-gaap/2025"/>
    <n v="20251231"/>
    <n v="4"/>
    <s v="USD"/>
    <s v=""/>
    <s v=""/>
    <n v="18910000"/>
  </r>
  <r>
    <x v="76"/>
    <x v="2"/>
    <s v="us-gaap/2025"/>
    <n v="20251231"/>
    <n v="4"/>
    <s v="USD"/>
    <s v=""/>
    <s v=""/>
    <n v="382074000"/>
  </r>
  <r>
    <x v="76"/>
    <x v="0"/>
    <s v="us-gaap/2025"/>
    <n v="20251231"/>
    <n v="0"/>
    <s v="USD"/>
    <s v=""/>
    <s v=""/>
    <n v="7729891000"/>
  </r>
  <r>
    <x v="92"/>
    <x v="1"/>
    <s v="us-gaap/2024"/>
    <n v="20251231"/>
    <n v="0"/>
    <s v="USD"/>
    <s v=""/>
    <s v=""/>
    <n v="6902675000"/>
  </r>
  <r>
    <x v="77"/>
    <x v="3"/>
    <s v="us-gaap/2025"/>
    <n v="20251231"/>
    <n v="4"/>
    <s v="USD"/>
    <s v=""/>
    <s v=""/>
    <n v="3.01"/>
  </r>
  <r>
    <x v="78"/>
    <x v="1"/>
    <s v="us-gaap/2025"/>
    <n v="20251231"/>
    <n v="0"/>
    <s v="USD"/>
    <s v=""/>
    <s v=""/>
    <n v="71142046000"/>
  </r>
  <r>
    <x v="67"/>
    <x v="3"/>
    <s v="us-gaap/2025"/>
    <n v="20251231"/>
    <n v="4"/>
    <s v="USD"/>
    <s v=""/>
    <s v=""/>
    <n v="2.36"/>
  </r>
  <r>
    <x v="95"/>
    <x v="3"/>
    <s v="us-gaap/2024"/>
    <n v="20251231"/>
    <n v="4"/>
    <s v="USD"/>
    <s v=""/>
    <s v=""/>
    <n v="3.14"/>
  </r>
  <r>
    <x v="89"/>
    <x v="2"/>
    <s v="us-gaap/2025"/>
    <n v="20251231"/>
    <n v="4"/>
    <s v="USD"/>
    <s v=""/>
    <s v=""/>
    <n v="784050000"/>
  </r>
  <r>
    <x v="95"/>
    <x v="0"/>
    <s v="us-gaap/2024"/>
    <n v="20251231"/>
    <n v="0"/>
    <s v="USD"/>
    <s v=""/>
    <s v=""/>
    <n v="3464416000"/>
  </r>
  <r>
    <x v="96"/>
    <x v="5"/>
    <s v="us-gaap/2025"/>
    <n v="20251231"/>
    <n v="0"/>
    <s v="USD"/>
    <s v=""/>
    <s v=""/>
    <n v="1112311000"/>
  </r>
  <r>
    <x v="87"/>
    <x v="3"/>
    <s v="us-gaap/2025"/>
    <n v="20251231"/>
    <n v="4"/>
    <s v="USD"/>
    <s v=""/>
    <s v=""/>
    <n v="5.34"/>
  </r>
  <r>
    <x v="87"/>
    <x v="5"/>
    <s v="us-gaap/2025"/>
    <n v="20251231"/>
    <n v="0"/>
    <s v="USD"/>
    <s v=""/>
    <s v=""/>
    <n v="2039386000"/>
  </r>
  <r>
    <x v="96"/>
    <x v="2"/>
    <s v="us-gaap/2025"/>
    <n v="20251231"/>
    <n v="4"/>
    <s v="USD"/>
    <s v=""/>
    <s v=""/>
    <n v="489426000"/>
  </r>
  <r>
    <x v="97"/>
    <x v="2"/>
    <s v="us-gaap/2025"/>
    <n v="20251231"/>
    <n v="4"/>
    <s v="USD"/>
    <s v=""/>
    <s v=""/>
    <n v="951303000"/>
  </r>
  <r>
    <x v="98"/>
    <x v="1"/>
    <s v="us-gaap/2025"/>
    <n v="20251231"/>
    <n v="0"/>
    <s v="USD"/>
    <s v=""/>
    <s v=""/>
    <n v="4506095000"/>
  </r>
  <r>
    <x v="98"/>
    <x v="3"/>
    <s v="us-gaap/2025"/>
    <n v="20251231"/>
    <n v="4"/>
    <s v="USD"/>
    <s v=""/>
    <s v=""/>
    <n v="7.23"/>
  </r>
  <r>
    <x v="99"/>
    <x v="4"/>
    <s v="us-gaap/2025"/>
    <n v="20251231"/>
    <n v="4"/>
    <s v="USD"/>
    <s v=""/>
    <s v=""/>
    <n v="218770000"/>
  </r>
  <r>
    <x v="98"/>
    <x v="2"/>
    <s v="us-gaap/2025"/>
    <n v="20251231"/>
    <n v="4"/>
    <s v="USD"/>
    <s v=""/>
    <s v=""/>
    <n v="221715000"/>
  </r>
  <r>
    <x v="98"/>
    <x v="5"/>
    <s v="us-gaap/2025"/>
    <n v="20251231"/>
    <n v="0"/>
    <s v="USD"/>
    <s v=""/>
    <s v=""/>
    <n v="643836000"/>
  </r>
  <r>
    <x v="60"/>
    <x v="1"/>
    <s v="us-gaap/2025"/>
    <n v="20251231"/>
    <n v="0"/>
    <s v="USD"/>
    <s v=""/>
    <s v=""/>
    <n v="28002554000"/>
  </r>
  <r>
    <x v="60"/>
    <x v="0"/>
    <s v="us-gaap/2025"/>
    <n v="20251231"/>
    <n v="0"/>
    <s v="USD"/>
    <s v=""/>
    <s v=""/>
    <n v="24363868000"/>
  </r>
  <r>
    <x v="100"/>
    <x v="5"/>
    <s v="us-gaap/2025"/>
    <n v="20251231"/>
    <n v="0"/>
    <s v="USD"/>
    <s v=""/>
    <s v=""/>
    <n v="2006034000"/>
  </r>
  <r>
    <x v="81"/>
    <x v="4"/>
    <s v="us-gaap/2025"/>
    <n v="20251231"/>
    <n v="4"/>
    <s v="USD"/>
    <s v=""/>
    <s v=""/>
    <n v="59506000"/>
  </r>
  <r>
    <x v="72"/>
    <x v="3"/>
    <s v="us-gaap/2025"/>
    <n v="20251231"/>
    <n v="4"/>
    <s v="USD"/>
    <s v=""/>
    <s v=""/>
    <n v="2.95"/>
  </r>
  <r>
    <x v="93"/>
    <x v="1"/>
    <s v="us-gaap/2025"/>
    <n v="20251231"/>
    <n v="0"/>
    <s v="USD"/>
    <s v=""/>
    <s v=""/>
    <n v="8255716000"/>
  </r>
  <r>
    <x v="93"/>
    <x v="3"/>
    <s v="us-gaap/2025"/>
    <n v="20251231"/>
    <n v="4"/>
    <s v="USD"/>
    <s v=""/>
    <s v=""/>
    <n v="6.71"/>
  </r>
  <r>
    <x v="93"/>
    <x v="2"/>
    <s v="us-gaap/2025"/>
    <n v="20251231"/>
    <n v="4"/>
    <s v="USD"/>
    <s v=""/>
    <s v=""/>
    <n v="515278000"/>
  </r>
  <r>
    <x v="62"/>
    <x v="1"/>
    <s v="us-gaap/2025"/>
    <n v="20251231"/>
    <n v="0"/>
    <s v="USD"/>
    <s v=""/>
    <s v=""/>
    <n v="31978063000"/>
  </r>
  <r>
    <x v="101"/>
    <x v="1"/>
    <s v="us-gaap/2024"/>
    <n v="20251231"/>
    <n v="0"/>
    <s v="USD"/>
    <s v=""/>
    <s v=""/>
    <n v="8693302000"/>
  </r>
  <r>
    <x v="101"/>
    <x v="4"/>
    <s v="us-gaap/2024"/>
    <n v="20251231"/>
    <n v="4"/>
    <s v="USD"/>
    <s v=""/>
    <s v=""/>
    <n v="18880000"/>
  </r>
  <r>
    <x v="94"/>
    <x v="1"/>
    <s v="us-gaap/2025"/>
    <n v="20251231"/>
    <n v="0"/>
    <s v="USD"/>
    <s v=""/>
    <s v=""/>
    <n v="9883518000"/>
  </r>
  <r>
    <x v="102"/>
    <x v="2"/>
    <s v="us-gaap/2025"/>
    <n v="20251231"/>
    <n v="4"/>
    <s v="USD"/>
    <s v=""/>
    <s v=""/>
    <n v="313732000"/>
  </r>
  <r>
    <x v="103"/>
    <x v="3"/>
    <s v="us-gaap/2025"/>
    <n v="20251231"/>
    <n v="4"/>
    <s v="USD"/>
    <s v=""/>
    <s v=""/>
    <n v="1.46"/>
  </r>
  <r>
    <x v="103"/>
    <x v="2"/>
    <s v="us-gaap/2025"/>
    <n v="20251231"/>
    <n v="4"/>
    <s v="USD"/>
    <s v=""/>
    <s v=""/>
    <n v="139217000"/>
  </r>
  <r>
    <x v="101"/>
    <x v="3"/>
    <s v="us-gaap/2024"/>
    <n v="20251231"/>
    <n v="4"/>
    <s v="USD"/>
    <s v=""/>
    <s v=""/>
    <n v="0.54"/>
  </r>
  <r>
    <x v="101"/>
    <x v="5"/>
    <s v="us-gaap/2024"/>
    <n v="20251231"/>
    <n v="0"/>
    <s v="USD"/>
    <s v=""/>
    <s v=""/>
    <n v="707975000"/>
  </r>
  <r>
    <x v="102"/>
    <x v="5"/>
    <s v="us-gaap/2025"/>
    <n v="20251231"/>
    <n v="0"/>
    <s v="USD"/>
    <s v=""/>
    <s v=""/>
    <n v="636126000"/>
  </r>
  <r>
    <x v="91"/>
    <x v="0"/>
    <s v="us-gaap/2025"/>
    <n v="20251231"/>
    <n v="0"/>
    <s v="USD"/>
    <s v=""/>
    <s v=""/>
    <n v="4889907000"/>
  </r>
  <r>
    <x v="65"/>
    <x v="1"/>
    <s v="us-gaap/2025"/>
    <n v="20251231"/>
    <n v="0"/>
    <s v="USD"/>
    <s v=""/>
    <s v=""/>
    <n v="6133896000"/>
  </r>
  <r>
    <x v="65"/>
    <x v="2"/>
    <s v="us-gaap/2025"/>
    <n v="20251231"/>
    <n v="4"/>
    <s v="USD"/>
    <s v=""/>
    <s v=""/>
    <n v="323770000"/>
  </r>
  <r>
    <x v="66"/>
    <x v="4"/>
    <s v="us-gaap/2025"/>
    <n v="20251231"/>
    <n v="4"/>
    <s v="USD"/>
    <s v=""/>
    <s v=""/>
    <n v="8214000"/>
  </r>
  <r>
    <x v="104"/>
    <x v="3"/>
    <s v="us-gaap/2025"/>
    <n v="20251231"/>
    <n v="4"/>
    <s v="USD"/>
    <s v=""/>
    <s v=""/>
    <n v="2.3199999999999998"/>
  </r>
  <r>
    <x v="0"/>
    <x v="5"/>
    <s v="us-gaap/2025"/>
    <n v="20251231"/>
    <n v="0"/>
    <s v="USD"/>
    <s v=""/>
    <s v=""/>
    <n v="4975347000"/>
  </r>
  <r>
    <x v="68"/>
    <x v="2"/>
    <s v="us-gaap/2025"/>
    <n v="20251231"/>
    <n v="4"/>
    <s v="USD"/>
    <s v=""/>
    <s v=""/>
    <n v="1821487000"/>
  </r>
  <r>
    <x v="68"/>
    <x v="0"/>
    <s v="us-gaap/2025"/>
    <n v="20251231"/>
    <n v="0"/>
    <s v="USD"/>
    <s v=""/>
    <s v=""/>
    <n v="32579356000"/>
  </r>
  <r>
    <x v="105"/>
    <x v="1"/>
    <s v="us-gaap/2025"/>
    <n v="20251231"/>
    <n v="0"/>
    <s v="USD"/>
    <s v=""/>
    <s v=""/>
    <n v="5270578000"/>
  </r>
  <r>
    <x v="97"/>
    <x v="1"/>
    <s v="us-gaap/2025"/>
    <n v="20251231"/>
    <n v="0"/>
    <s v="USD"/>
    <s v=""/>
    <s v=""/>
    <n v="23955252000"/>
  </r>
  <r>
    <x v="106"/>
    <x v="4"/>
    <s v="us-gaap/2025"/>
    <n v="20251231"/>
    <n v="4"/>
    <s v="USD"/>
    <s v=""/>
    <s v=""/>
    <n v="7488000"/>
  </r>
  <r>
    <x v="99"/>
    <x v="2"/>
    <s v="us-gaap/2025"/>
    <n v="20251231"/>
    <n v="4"/>
    <s v="USD"/>
    <s v=""/>
    <s v=""/>
    <n v="1200851000"/>
  </r>
  <r>
    <x v="99"/>
    <x v="5"/>
    <s v="us-gaap/2025"/>
    <n v="20251231"/>
    <n v="0"/>
    <s v="USD"/>
    <s v=""/>
    <s v=""/>
    <n v="2280759000"/>
  </r>
  <r>
    <x v="105"/>
    <x v="2"/>
    <s v="us-gaap/2025"/>
    <n v="20251231"/>
    <n v="4"/>
    <s v="USD"/>
    <s v=""/>
    <s v=""/>
    <n v="259697000"/>
  </r>
  <r>
    <x v="105"/>
    <x v="0"/>
    <s v="us-gaap/2025"/>
    <n v="20251231"/>
    <n v="0"/>
    <s v="USD"/>
    <s v=""/>
    <s v=""/>
    <n v="4750731000"/>
  </r>
  <r>
    <x v="105"/>
    <x v="5"/>
    <s v="us-gaap/2025"/>
    <n v="20251231"/>
    <n v="0"/>
    <s v="USD"/>
    <s v=""/>
    <s v=""/>
    <n v="519847000"/>
  </r>
  <r>
    <x v="98"/>
    <x v="0"/>
    <s v="us-gaap/2025"/>
    <n v="20251231"/>
    <n v="0"/>
    <s v="USD"/>
    <s v=""/>
    <s v=""/>
    <n v="3862259000"/>
  </r>
  <r>
    <x v="107"/>
    <x v="0"/>
    <s v="us-gaap/2025"/>
    <n v="20251231"/>
    <n v="0"/>
    <s v="USD"/>
    <s v=""/>
    <s v=""/>
    <n v="2375013000"/>
  </r>
  <r>
    <x v="108"/>
    <x v="3"/>
    <s v="us-gaap/2025"/>
    <n v="20251231"/>
    <n v="4"/>
    <s v="USD"/>
    <s v=""/>
    <s v=""/>
    <n v="-1.88"/>
  </r>
  <r>
    <x v="100"/>
    <x v="4"/>
    <s v="us-gaap/2025"/>
    <n v="20251231"/>
    <n v="4"/>
    <s v="USD"/>
    <s v=""/>
    <s v=""/>
    <n v="210455000"/>
  </r>
  <r>
    <x v="88"/>
    <x v="1"/>
    <s v="us-gaap/2025"/>
    <n v="20251231"/>
    <n v="0"/>
    <s v="USD"/>
    <s v=""/>
    <s v=""/>
    <n v="80434997000"/>
  </r>
  <r>
    <x v="109"/>
    <x v="0"/>
    <s v="us-gaap/2025"/>
    <n v="20251231"/>
    <n v="0"/>
    <s v="USD"/>
    <s v=""/>
    <s v=""/>
    <n v="3624492000"/>
  </r>
  <r>
    <x v="88"/>
    <x v="2"/>
    <s v="us-gaap/2025"/>
    <n v="20251231"/>
    <n v="4"/>
    <s v="USD"/>
    <s v=""/>
    <s v=""/>
    <n v="4293396000"/>
  </r>
  <r>
    <x v="88"/>
    <x v="0"/>
    <s v="us-gaap/2025"/>
    <n v="20251231"/>
    <n v="0"/>
    <s v="USD"/>
    <s v=""/>
    <s v=""/>
    <n v="71535795000"/>
  </r>
  <r>
    <x v="107"/>
    <x v="4"/>
    <s v="us-gaap/2025"/>
    <n v="20251231"/>
    <n v="4"/>
    <s v="USD"/>
    <s v=""/>
    <s v=""/>
    <n v="41614000"/>
  </r>
  <r>
    <x v="86"/>
    <x v="5"/>
    <s v="us-gaap/2025"/>
    <n v="20251231"/>
    <n v="0"/>
    <s v="USD"/>
    <s v=""/>
    <s v=""/>
    <n v="365150000"/>
  </r>
  <r>
    <x v="85"/>
    <x v="5"/>
    <s v="us-gaap/2025"/>
    <n v="20251231"/>
    <n v="0"/>
    <s v="USD"/>
    <s v=""/>
    <s v=""/>
    <n v="3631382000"/>
  </r>
  <r>
    <x v="107"/>
    <x v="5"/>
    <s v="us-gaap/2025"/>
    <n v="20251231"/>
    <n v="0"/>
    <s v="USD"/>
    <s v=""/>
    <s v=""/>
    <n v="284364000"/>
  </r>
  <r>
    <x v="103"/>
    <x v="5"/>
    <s v="us-gaap/2025"/>
    <n v="20251231"/>
    <n v="0"/>
    <s v="USD"/>
    <s v=""/>
    <s v=""/>
    <n v="341714000"/>
  </r>
  <r>
    <x v="108"/>
    <x v="1"/>
    <s v="us-gaap/2025"/>
    <n v="20251231"/>
    <n v="0"/>
    <s v="USD"/>
    <s v=""/>
    <s v=""/>
    <n v="11904077000"/>
  </r>
  <r>
    <x v="108"/>
    <x v="5"/>
    <s v="us-gaap/2025"/>
    <n v="20251231"/>
    <n v="0"/>
    <s v="USD"/>
    <s v=""/>
    <s v=""/>
    <n v="912587000"/>
  </r>
  <r>
    <x v="110"/>
    <x v="5"/>
    <s v="us-gaap/2025"/>
    <n v="20251231"/>
    <n v="0"/>
    <s v="USD"/>
    <s v=""/>
    <s v=""/>
    <n v="552379000"/>
  </r>
  <r>
    <x v="111"/>
    <x v="3"/>
    <s v="us-gaap/2025"/>
    <n v="20251231"/>
    <n v="4"/>
    <s v="USD"/>
    <s v=""/>
    <s v=""/>
    <n v="1.59"/>
  </r>
  <r>
    <x v="111"/>
    <x v="2"/>
    <s v="us-gaap/2025"/>
    <n v="20251231"/>
    <n v="4"/>
    <s v="USD"/>
    <s v=""/>
    <s v=""/>
    <n v="38975000"/>
  </r>
  <r>
    <x v="95"/>
    <x v="4"/>
    <s v="us-gaap/2024"/>
    <n v="20251231"/>
    <n v="4"/>
    <s v="USD"/>
    <s v=""/>
    <s v=""/>
    <n v="42327000"/>
  </r>
  <r>
    <x v="95"/>
    <x v="5"/>
    <s v="us-gaap/2024"/>
    <n v="20251231"/>
    <n v="0"/>
    <s v="USD"/>
    <s v=""/>
    <s v=""/>
    <n v="364863000"/>
  </r>
  <r>
    <x v="112"/>
    <x v="4"/>
    <s v="us-gaap/2024"/>
    <n v="20251231"/>
    <n v="4"/>
    <s v="USD"/>
    <s v=""/>
    <s v=""/>
    <n v="3911000"/>
  </r>
  <r>
    <x v="96"/>
    <x v="1"/>
    <s v="us-gaap/2025"/>
    <n v="20251231"/>
    <n v="0"/>
    <s v="USD"/>
    <s v=""/>
    <s v=""/>
    <n v="9575470000"/>
  </r>
  <r>
    <x v="96"/>
    <x v="4"/>
    <s v="us-gaap/2025"/>
    <n v="20251231"/>
    <n v="4"/>
    <s v="USD"/>
    <s v=""/>
    <s v=""/>
    <n v="127194000"/>
  </r>
  <r>
    <x v="113"/>
    <x v="0"/>
    <s v="us-gaap/2025"/>
    <n v="20251231"/>
    <n v="0"/>
    <s v="USD"/>
    <s v=""/>
    <s v=""/>
    <n v="1334501000"/>
  </r>
  <r>
    <x v="111"/>
    <x v="0"/>
    <s v="us-gaap/2025"/>
    <n v="20251231"/>
    <n v="0"/>
    <s v="USD"/>
    <s v=""/>
    <s v=""/>
    <n v="837890000"/>
  </r>
  <r>
    <x v="111"/>
    <x v="4"/>
    <s v="us-gaap/2025"/>
    <n v="20251231"/>
    <n v="4"/>
    <s v="USD"/>
    <s v=""/>
    <s v=""/>
    <n v="7983000"/>
  </r>
  <r>
    <x v="74"/>
    <x v="0"/>
    <s v="us-gaap/2025"/>
    <n v="20251231"/>
    <n v="0"/>
    <s v="USD"/>
    <s v=""/>
    <s v=""/>
    <n v="2506146000"/>
  </r>
  <r>
    <x v="104"/>
    <x v="1"/>
    <s v="us-gaap/2025"/>
    <n v="20251231"/>
    <n v="0"/>
    <s v="USD"/>
    <s v=""/>
    <s v=""/>
    <n v="4683891000"/>
  </r>
  <r>
    <x v="114"/>
    <x v="0"/>
    <s v="us-gaap/2025"/>
    <n v="20251231"/>
    <n v="0"/>
    <s v="USD"/>
    <s v=""/>
    <s v=""/>
    <n v="279363000"/>
  </r>
  <r>
    <x v="115"/>
    <x v="1"/>
    <s v="us-gaap/2025"/>
    <n v="20251231"/>
    <n v="0"/>
    <s v="USD"/>
    <s v=""/>
    <s v=""/>
    <n v="7042061000"/>
  </r>
  <r>
    <x v="115"/>
    <x v="2"/>
    <s v="us-gaap/2025"/>
    <n v="20251231"/>
    <n v="4"/>
    <s v="USD"/>
    <s v=""/>
    <s v=""/>
    <n v="438513000"/>
  </r>
  <r>
    <x v="101"/>
    <x v="0"/>
    <s v="us-gaap/2024"/>
    <n v="20251231"/>
    <n v="0"/>
    <s v="USD"/>
    <s v=""/>
    <s v=""/>
    <n v="7985327000"/>
  </r>
  <r>
    <x v="106"/>
    <x v="0"/>
    <s v="us-gaap/2025"/>
    <n v="20251231"/>
    <n v="0"/>
    <s v="USD"/>
    <s v=""/>
    <s v=""/>
    <n v="2182830000"/>
  </r>
  <r>
    <x v="105"/>
    <x v="3"/>
    <s v="us-gaap/2025"/>
    <n v="20251231"/>
    <n v="4"/>
    <s v="USD"/>
    <s v=""/>
    <s v=""/>
    <n v="5.92"/>
  </r>
  <r>
    <x v="109"/>
    <x v="1"/>
    <s v="us-gaap/2025"/>
    <n v="20251231"/>
    <n v="0"/>
    <s v="USD"/>
    <s v=""/>
    <s v=""/>
    <n v="4047388000"/>
  </r>
  <r>
    <x v="109"/>
    <x v="4"/>
    <s v="us-gaap/2025"/>
    <n v="20251231"/>
    <n v="4"/>
    <s v="USD"/>
    <s v=""/>
    <s v=""/>
    <n v="61443000"/>
  </r>
  <r>
    <x v="112"/>
    <x v="1"/>
    <s v="us-gaap/2024"/>
    <n v="20251231"/>
    <n v="0"/>
    <s v="USD"/>
    <s v=""/>
    <s v=""/>
    <n v="727121000"/>
  </r>
  <r>
    <x v="116"/>
    <x v="3"/>
    <s v="us-gaap/2025"/>
    <n v="20251231"/>
    <n v="4"/>
    <s v="USD"/>
    <s v=""/>
    <s v=""/>
    <n v="0.7"/>
  </r>
  <r>
    <x v="113"/>
    <x v="1"/>
    <s v="us-gaap/2025"/>
    <n v="20251231"/>
    <n v="0"/>
    <s v="USD"/>
    <s v=""/>
    <s v=""/>
    <n v="1453813000"/>
  </r>
  <r>
    <x v="113"/>
    <x v="3"/>
    <s v="us-gaap/2025"/>
    <n v="20251231"/>
    <n v="4"/>
    <s v="USD"/>
    <s v=""/>
    <s v=""/>
    <n v="0.34"/>
  </r>
  <r>
    <x v="113"/>
    <x v="4"/>
    <s v="us-gaap/2025"/>
    <n v="20251231"/>
    <n v="4"/>
    <s v="USD"/>
    <s v=""/>
    <s v=""/>
    <n v="5612000"/>
  </r>
  <r>
    <x v="113"/>
    <x v="5"/>
    <s v="us-gaap/2025"/>
    <n v="20251231"/>
    <n v="0"/>
    <s v="USD"/>
    <s v=""/>
    <s v=""/>
    <n v="119312000"/>
  </r>
  <r>
    <x v="117"/>
    <x v="4"/>
    <s v="us-gaap/2024"/>
    <n v="20251231"/>
    <n v="4"/>
    <s v="USD"/>
    <s v=""/>
    <s v=""/>
    <n v="61588000"/>
  </r>
  <r>
    <x v="116"/>
    <x v="4"/>
    <s v="us-gaap/2025"/>
    <n v="20251231"/>
    <n v="4"/>
    <s v="USD"/>
    <s v=""/>
    <s v=""/>
    <n v="12288000"/>
  </r>
  <r>
    <x v="116"/>
    <x v="5"/>
    <s v="us-gaap/2025"/>
    <n v="20251231"/>
    <n v="0"/>
    <s v="USD"/>
    <s v=""/>
    <s v=""/>
    <n v="139683000"/>
  </r>
  <r>
    <x v="118"/>
    <x v="3"/>
    <s v="us-gaap/2025"/>
    <n v="20251231"/>
    <n v="4"/>
    <s v="USD"/>
    <s v=""/>
    <s v=""/>
    <n v="5.44"/>
  </r>
  <r>
    <x v="118"/>
    <x v="0"/>
    <s v="us-gaap/2025"/>
    <n v="20251231"/>
    <n v="0"/>
    <s v="USD"/>
    <s v=""/>
    <s v=""/>
    <n v="5828066000"/>
  </r>
  <r>
    <x v="118"/>
    <x v="4"/>
    <s v="us-gaap/2025"/>
    <n v="20251231"/>
    <n v="4"/>
    <s v="USD"/>
    <s v=""/>
    <s v=""/>
    <n v="98058000"/>
  </r>
  <r>
    <x v="104"/>
    <x v="4"/>
    <s v="us-gaap/2025"/>
    <n v="20251231"/>
    <n v="4"/>
    <s v="USD"/>
    <s v=""/>
    <s v=""/>
    <n v="36919000"/>
  </r>
  <r>
    <x v="119"/>
    <x v="3"/>
    <s v="us-gaap/2025"/>
    <n v="20251231"/>
    <n v="4"/>
    <s v="USD"/>
    <s v=""/>
    <s v=""/>
    <n v="1.49"/>
  </r>
  <r>
    <x v="120"/>
    <x v="0"/>
    <s v="us-gaap/2025"/>
    <n v="20251231"/>
    <n v="0"/>
    <s v="USD"/>
    <s v=""/>
    <s v=""/>
    <n v="2726513000"/>
  </r>
  <r>
    <x v="121"/>
    <x v="0"/>
    <s v="us-gaap/2025"/>
    <n v="20251231"/>
    <n v="0"/>
    <s v="USD"/>
    <s v=""/>
    <s v=""/>
    <n v="1412397000"/>
  </r>
  <r>
    <x v="122"/>
    <x v="4"/>
    <s v="us-gaap/2025"/>
    <n v="20251231"/>
    <n v="4"/>
    <s v="USD"/>
    <s v=""/>
    <s v=""/>
    <n v="93605000"/>
  </r>
  <r>
    <x v="123"/>
    <x v="1"/>
    <s v="us-gaap/2025"/>
    <n v="20251231"/>
    <n v="0"/>
    <s v="USD"/>
    <s v=""/>
    <s v=""/>
    <n v="6440700000"/>
  </r>
  <r>
    <x v="124"/>
    <x v="2"/>
    <s v="us-gaap/2025"/>
    <n v="20251231"/>
    <n v="4"/>
    <s v="USD"/>
    <s v=""/>
    <s v=""/>
    <n v="128758000"/>
  </r>
  <r>
    <x v="90"/>
    <x v="5"/>
    <s v="us-gaap/2025"/>
    <n v="20251231"/>
    <n v="0"/>
    <s v="USD"/>
    <s v=""/>
    <s v=""/>
    <n v="9059108000"/>
  </r>
  <r>
    <x v="107"/>
    <x v="2"/>
    <s v="us-gaap/2025"/>
    <n v="20251231"/>
    <n v="4"/>
    <s v="USD"/>
    <s v=""/>
    <s v=""/>
    <n v="134982000"/>
  </r>
  <r>
    <x v="114"/>
    <x v="3"/>
    <s v="us-gaap/2025"/>
    <n v="20251231"/>
    <n v="4"/>
    <s v="USD"/>
    <s v=""/>
    <s v=""/>
    <n v="0.1"/>
  </r>
  <r>
    <x v="114"/>
    <x v="4"/>
    <s v="us-gaap/2025"/>
    <n v="20251231"/>
    <n v="4"/>
    <s v="USD"/>
    <s v=""/>
    <s v=""/>
    <n v="172000"/>
  </r>
  <r>
    <x v="112"/>
    <x v="3"/>
    <s v="us-gaap/2024"/>
    <n v="20251231"/>
    <n v="4"/>
    <s v="USD"/>
    <s v=""/>
    <s v=""/>
    <n v="0.85"/>
  </r>
  <r>
    <x v="112"/>
    <x v="0"/>
    <s v="us-gaap/2024"/>
    <n v="20251231"/>
    <n v="0"/>
    <s v="USD"/>
    <s v=""/>
    <s v=""/>
    <n v="626454000"/>
  </r>
  <r>
    <x v="121"/>
    <x v="3"/>
    <s v="us-gaap/2025"/>
    <n v="20251231"/>
    <n v="4"/>
    <s v="USD"/>
    <s v=""/>
    <s v=""/>
    <n v="3.31"/>
  </r>
  <r>
    <x v="122"/>
    <x v="1"/>
    <s v="us-gaap/2025"/>
    <n v="20251231"/>
    <n v="0"/>
    <s v="USD"/>
    <s v=""/>
    <s v=""/>
    <n v="5690110000"/>
  </r>
  <r>
    <x v="123"/>
    <x v="0"/>
    <s v="us-gaap/2025"/>
    <n v="20251231"/>
    <n v="0"/>
    <s v="USD"/>
    <s v=""/>
    <s v=""/>
    <n v="5754111000"/>
  </r>
  <r>
    <x v="123"/>
    <x v="5"/>
    <s v="us-gaap/2025"/>
    <n v="20251231"/>
    <n v="0"/>
    <s v="USD"/>
    <s v=""/>
    <s v=""/>
    <n v="686589000"/>
  </r>
  <r>
    <x v="124"/>
    <x v="4"/>
    <s v="us-gaap/2025"/>
    <n v="20251231"/>
    <n v="4"/>
    <s v="USD"/>
    <s v=""/>
    <s v=""/>
    <n v="43069000"/>
  </r>
  <r>
    <x v="80"/>
    <x v="3"/>
    <s v="us-gaap/2025"/>
    <n v="20251231"/>
    <n v="4"/>
    <s v="USD"/>
    <s v=""/>
    <s v=""/>
    <n v="5.67"/>
  </r>
  <r>
    <x v="91"/>
    <x v="3"/>
    <s v="us-gaap/2025"/>
    <n v="20251231"/>
    <n v="4"/>
    <s v="USD"/>
    <s v=""/>
    <s v=""/>
    <n v="1.53"/>
  </r>
  <r>
    <x v="92"/>
    <x v="5"/>
    <s v="us-gaap/2024"/>
    <n v="20251231"/>
    <n v="0"/>
    <s v="USD"/>
    <s v=""/>
    <s v=""/>
    <n v="896768000"/>
  </r>
  <r>
    <x v="125"/>
    <x v="4"/>
    <s v="us-gaap/2025"/>
    <n v="20251231"/>
    <n v="4"/>
    <s v="USD"/>
    <s v=""/>
    <s v=""/>
    <n v="412293000"/>
  </r>
  <r>
    <x v="75"/>
    <x v="3"/>
    <s v="us-gaap/2025"/>
    <n v="20251231"/>
    <n v="4"/>
    <s v="USD"/>
    <s v=""/>
    <s v=""/>
    <n v="1.17"/>
  </r>
  <r>
    <x v="75"/>
    <x v="4"/>
    <s v="us-gaap/2025"/>
    <n v="20251231"/>
    <n v="4"/>
    <s v="USD"/>
    <s v=""/>
    <s v=""/>
    <n v="70978000"/>
  </r>
  <r>
    <x v="75"/>
    <x v="5"/>
    <s v="us-gaap/2025"/>
    <n v="20251231"/>
    <n v="0"/>
    <s v="USD"/>
    <s v=""/>
    <s v=""/>
    <n v="1662550000"/>
  </r>
  <r>
    <x v="126"/>
    <x v="1"/>
    <s v="us-gaap/2025"/>
    <n v="20251231"/>
    <n v="0"/>
    <s v="USD"/>
    <s v=""/>
    <s v=""/>
    <n v="4142244000"/>
  </r>
  <r>
    <x v="126"/>
    <x v="4"/>
    <s v="us-gaap/2025"/>
    <n v="20251231"/>
    <n v="4"/>
    <s v="USD"/>
    <s v=""/>
    <s v=""/>
    <n v="32560000"/>
  </r>
  <r>
    <x v="127"/>
    <x v="0"/>
    <s v="us-gaap/2025"/>
    <n v="20251231"/>
    <n v="0"/>
    <s v="USD"/>
    <s v=""/>
    <s v=""/>
    <n v="15876843000"/>
  </r>
  <r>
    <x v="95"/>
    <x v="1"/>
    <s v="us-gaap/2024"/>
    <n v="20251231"/>
    <n v="0"/>
    <s v="USD"/>
    <s v=""/>
    <s v=""/>
    <n v="3829279000"/>
  </r>
  <r>
    <x v="95"/>
    <x v="2"/>
    <s v="us-gaap/2024"/>
    <n v="20251231"/>
    <n v="4"/>
    <s v="USD"/>
    <s v=""/>
    <s v=""/>
    <n v="171388000"/>
  </r>
  <r>
    <x v="78"/>
    <x v="5"/>
    <s v="us-gaap/2025"/>
    <n v="20251231"/>
    <n v="0"/>
    <s v="USD"/>
    <s v=""/>
    <s v=""/>
    <n v="7258715000"/>
  </r>
  <r>
    <x v="128"/>
    <x v="1"/>
    <s v="us-gaap/2025"/>
    <n v="20251231"/>
    <n v="0"/>
    <s v="USD"/>
    <s v=""/>
    <s v=""/>
    <n v="9185107000"/>
  </r>
  <r>
    <x v="128"/>
    <x v="3"/>
    <s v="us-gaap/2025"/>
    <n v="20251231"/>
    <n v="4"/>
    <s v="USD"/>
    <s v=""/>
    <s v=""/>
    <n v="10.06"/>
  </r>
  <r>
    <x v="97"/>
    <x v="0"/>
    <s v="us-gaap/2025"/>
    <n v="20251231"/>
    <n v="0"/>
    <s v="USD"/>
    <s v=""/>
    <s v=""/>
    <n v="21185887000"/>
  </r>
  <r>
    <x v="97"/>
    <x v="4"/>
    <s v="us-gaap/2025"/>
    <n v="20251231"/>
    <n v="4"/>
    <s v="USD"/>
    <s v=""/>
    <s v=""/>
    <n v="276266000"/>
  </r>
  <r>
    <x v="97"/>
    <x v="5"/>
    <s v="us-gaap/2025"/>
    <n v="20251231"/>
    <n v="0"/>
    <s v="USD"/>
    <s v=""/>
    <s v=""/>
    <n v="2769365000"/>
  </r>
  <r>
    <x v="129"/>
    <x v="3"/>
    <s v="us-gaap/2025"/>
    <n v="20251231"/>
    <n v="4"/>
    <s v="USD"/>
    <s v=""/>
    <s v=""/>
    <n v="6.85"/>
  </r>
  <r>
    <x v="129"/>
    <x v="4"/>
    <s v="us-gaap/2025"/>
    <n v="20251231"/>
    <n v="4"/>
    <s v="USD"/>
    <s v=""/>
    <s v=""/>
    <n v="24225000"/>
  </r>
  <r>
    <x v="130"/>
    <x v="2"/>
    <s v="us-gaap/2025"/>
    <n v="20251231"/>
    <n v="4"/>
    <s v="USD"/>
    <s v=""/>
    <s v=""/>
    <n v="106109000"/>
  </r>
  <r>
    <x v="130"/>
    <x v="4"/>
    <s v="us-gaap/2025"/>
    <n v="20251231"/>
    <n v="4"/>
    <s v="USD"/>
    <s v=""/>
    <s v=""/>
    <n v="21559000"/>
  </r>
  <r>
    <x v="116"/>
    <x v="1"/>
    <s v="us-gaap/2025"/>
    <n v="20251231"/>
    <n v="0"/>
    <s v="USD"/>
    <s v=""/>
    <s v=""/>
    <n v="1248313000"/>
  </r>
  <r>
    <x v="116"/>
    <x v="2"/>
    <s v="us-gaap/2025"/>
    <n v="20251231"/>
    <n v="4"/>
    <s v="USD"/>
    <s v=""/>
    <s v=""/>
    <n v="60812000"/>
  </r>
  <r>
    <x v="87"/>
    <x v="2"/>
    <s v="us-gaap/2025"/>
    <n v="20251231"/>
    <n v="4"/>
    <s v="USD"/>
    <s v=""/>
    <s v=""/>
    <n v="888410000"/>
  </r>
  <r>
    <x v="87"/>
    <x v="4"/>
    <s v="us-gaap/2025"/>
    <n v="20251231"/>
    <n v="4"/>
    <s v="USD"/>
    <s v=""/>
    <s v=""/>
    <n v="201374000"/>
  </r>
  <r>
    <x v="100"/>
    <x v="0"/>
    <s v="us-gaap/2025"/>
    <n v="20251231"/>
    <n v="0"/>
    <s v="USD"/>
    <s v=""/>
    <s v=""/>
    <n v="15297262000"/>
  </r>
  <r>
    <x v="131"/>
    <x v="1"/>
    <s v="us-gaap/2025"/>
    <n v="20251231"/>
    <n v="0"/>
    <s v="USD"/>
    <s v=""/>
    <s v=""/>
    <n v="15995121000"/>
  </r>
  <r>
    <x v="131"/>
    <x v="2"/>
    <s v="us-gaap/2025"/>
    <n v="20251231"/>
    <n v="4"/>
    <s v="USD"/>
    <s v=""/>
    <s v=""/>
    <n v="710992000"/>
  </r>
  <r>
    <x v="131"/>
    <x v="0"/>
    <s v="us-gaap/2025"/>
    <n v="20251231"/>
    <n v="0"/>
    <s v="USD"/>
    <s v=""/>
    <s v=""/>
    <n v="14098905000"/>
  </r>
  <r>
    <x v="81"/>
    <x v="1"/>
    <s v="us-gaap/2025"/>
    <n v="20251231"/>
    <n v="0"/>
    <s v="USD"/>
    <s v=""/>
    <s v=""/>
    <n v="6258818000"/>
  </r>
  <r>
    <x v="81"/>
    <x v="2"/>
    <s v="us-gaap/2025"/>
    <n v="20251231"/>
    <n v="4"/>
    <s v="USD"/>
    <s v=""/>
    <s v=""/>
    <n v="310028000"/>
  </r>
  <r>
    <x v="13"/>
    <x v="3"/>
    <s v="us-gaap/2025"/>
    <n v="20251231"/>
    <n v="4"/>
    <s v="USD"/>
    <s v=""/>
    <s v=""/>
    <n v="6.34"/>
  </r>
  <r>
    <x v="122"/>
    <x v="3"/>
    <s v="us-gaap/2025"/>
    <n v="20251231"/>
    <n v="4"/>
    <s v="USD"/>
    <s v=""/>
    <s v=""/>
    <n v="134.96"/>
  </r>
  <r>
    <x v="122"/>
    <x v="2"/>
    <s v="us-gaap/2025"/>
    <n v="20251231"/>
    <n v="4"/>
    <s v="USD"/>
    <s v=""/>
    <s v=""/>
    <n v="279492000"/>
  </r>
  <r>
    <x v="103"/>
    <x v="0"/>
    <s v="us-gaap/2025"/>
    <n v="20251231"/>
    <n v="0"/>
    <s v="USD"/>
    <s v=""/>
    <s v=""/>
    <n v="2790755000"/>
  </r>
  <r>
    <x v="102"/>
    <x v="1"/>
    <s v="us-gaap/2025"/>
    <n v="20251231"/>
    <n v="0"/>
    <s v="USD"/>
    <s v=""/>
    <s v=""/>
    <n v="5598606000"/>
  </r>
  <r>
    <x v="117"/>
    <x v="0"/>
    <s v="us-gaap/2024"/>
    <n v="20251231"/>
    <n v="0"/>
    <s v="USD"/>
    <s v=""/>
    <s v=""/>
    <n v="16248358000"/>
  </r>
  <r>
    <x v="16"/>
    <x v="0"/>
    <s v="us-gaap/2025"/>
    <n v="20251231"/>
    <n v="0"/>
    <s v="USD"/>
    <s v=""/>
    <s v=""/>
    <n v="164174800000"/>
  </r>
  <r>
    <x v="16"/>
    <x v="5"/>
    <s v="us-gaap/2025"/>
    <n v="20251231"/>
    <n v="0"/>
    <s v="USD"/>
    <s v=""/>
    <s v=""/>
    <n v="12957900000"/>
  </r>
  <r>
    <x v="116"/>
    <x v="0"/>
    <s v="us-gaap/2025"/>
    <n v="20251231"/>
    <n v="0"/>
    <s v="USD"/>
    <s v=""/>
    <s v=""/>
    <n v="1108630000"/>
  </r>
  <r>
    <x v="119"/>
    <x v="5"/>
    <s v="us-gaap/2025"/>
    <n v="20251231"/>
    <n v="0"/>
    <s v="USD"/>
    <s v=""/>
    <s v=""/>
    <n v="265638000"/>
  </r>
  <r>
    <x v="131"/>
    <x v="3"/>
    <s v="us-gaap/2025"/>
    <n v="20251231"/>
    <n v="4"/>
    <s v="USD"/>
    <s v=""/>
    <s v=""/>
    <n v="3.34"/>
  </r>
  <r>
    <x v="123"/>
    <x v="3"/>
    <s v="us-gaap/2025"/>
    <n v="20251231"/>
    <n v="4"/>
    <s v="USD"/>
    <s v=""/>
    <s v=""/>
    <n v="3.26"/>
  </r>
  <r>
    <x v="123"/>
    <x v="2"/>
    <s v="us-gaap/2025"/>
    <n v="20251231"/>
    <n v="4"/>
    <s v="USD"/>
    <s v=""/>
    <s v=""/>
    <n v="259416000"/>
  </r>
  <r>
    <x v="107"/>
    <x v="3"/>
    <s v="us-gaap/2025"/>
    <n v="20251231"/>
    <n v="4"/>
    <s v="USD"/>
    <s v=""/>
    <s v=""/>
    <n v="3.33"/>
  </r>
  <r>
    <x v="127"/>
    <x v="3"/>
    <s v="us-gaap/2025"/>
    <n v="20251231"/>
    <n v="4"/>
    <s v="USD"/>
    <s v=""/>
    <s v=""/>
    <n v="5.0599999999999996"/>
  </r>
  <r>
    <x v="124"/>
    <x v="0"/>
    <s v="us-gaap/2025"/>
    <n v="20251231"/>
    <n v="0"/>
    <s v="USD"/>
    <s v=""/>
    <s v=""/>
    <n v="1712645000"/>
  </r>
  <r>
    <x v="132"/>
    <x v="1"/>
    <s v="us-gaap/2025"/>
    <n v="20251231"/>
    <n v="0"/>
    <s v="USD"/>
    <s v=""/>
    <s v=""/>
    <n v="5960180000"/>
  </r>
  <r>
    <x v="108"/>
    <x v="0"/>
    <s v="us-gaap/2025"/>
    <n v="20251231"/>
    <n v="0"/>
    <s v="USD"/>
    <s v=""/>
    <s v=""/>
    <n v="10991490000"/>
  </r>
  <r>
    <x v="110"/>
    <x v="3"/>
    <s v="us-gaap/2025"/>
    <n v="20251231"/>
    <n v="4"/>
    <s v="USD"/>
    <s v=""/>
    <s v=""/>
    <n v="3"/>
  </r>
  <r>
    <x v="129"/>
    <x v="2"/>
    <s v="us-gaap/2025"/>
    <n v="20251231"/>
    <n v="4"/>
    <s v="USD"/>
    <s v=""/>
    <s v=""/>
    <n v="88018000"/>
  </r>
  <r>
    <x v="133"/>
    <x v="3"/>
    <s v="us-gaap/2025"/>
    <n v="20251231"/>
    <n v="4"/>
    <s v="USD"/>
    <s v=""/>
    <s v=""/>
    <n v="1.34"/>
  </r>
  <r>
    <x v="133"/>
    <x v="2"/>
    <s v="us-gaap/2025"/>
    <n v="20251231"/>
    <n v="4"/>
    <s v="USD"/>
    <s v=""/>
    <s v=""/>
    <n v="41489000"/>
  </r>
  <r>
    <x v="133"/>
    <x v="0"/>
    <s v="us-gaap/2025"/>
    <n v="20251231"/>
    <n v="0"/>
    <s v="USD"/>
    <s v=""/>
    <s v=""/>
    <n v="786930000"/>
  </r>
  <r>
    <x v="133"/>
    <x v="4"/>
    <s v="us-gaap/2025"/>
    <n v="20251231"/>
    <n v="4"/>
    <s v="USD"/>
    <s v=""/>
    <s v=""/>
    <n v="7753000"/>
  </r>
  <r>
    <x v="86"/>
    <x v="1"/>
    <s v="us-gaap/2025"/>
    <n v="20251231"/>
    <n v="0"/>
    <s v="USD"/>
    <s v=""/>
    <s v=""/>
    <n v="3350910000"/>
  </r>
  <r>
    <x v="85"/>
    <x v="0"/>
    <s v="us-gaap/2025"/>
    <n v="20251231"/>
    <n v="0"/>
    <s v="USD"/>
    <s v=""/>
    <s v=""/>
    <n v="27908892000"/>
  </r>
  <r>
    <x v="111"/>
    <x v="5"/>
    <s v="us-gaap/2025"/>
    <n v="20251231"/>
    <n v="0"/>
    <s v="USD"/>
    <s v=""/>
    <s v=""/>
    <n v="57373000"/>
  </r>
  <r>
    <x v="126"/>
    <x v="2"/>
    <s v="us-gaap/2025"/>
    <n v="20251231"/>
    <n v="4"/>
    <s v="USD"/>
    <s v=""/>
    <s v=""/>
    <n v="192225000"/>
  </r>
  <r>
    <x v="126"/>
    <x v="0"/>
    <s v="us-gaap/2025"/>
    <n v="20251231"/>
    <n v="0"/>
    <s v="USD"/>
    <s v=""/>
    <s v=""/>
    <n v="3876259000"/>
  </r>
  <r>
    <x v="132"/>
    <x v="2"/>
    <s v="us-gaap/2025"/>
    <n v="20251231"/>
    <n v="4"/>
    <s v="USD"/>
    <s v=""/>
    <s v=""/>
    <n v="230980000"/>
  </r>
  <r>
    <x v="128"/>
    <x v="4"/>
    <s v="us-gaap/2025"/>
    <n v="20251231"/>
    <n v="4"/>
    <s v="USD"/>
    <s v=""/>
    <s v=""/>
    <n v="150686000"/>
  </r>
  <r>
    <x v="128"/>
    <x v="5"/>
    <s v="us-gaap/2025"/>
    <n v="20251231"/>
    <n v="0"/>
    <s v="USD"/>
    <s v=""/>
    <s v=""/>
    <n v="1257662000"/>
  </r>
  <r>
    <x v="117"/>
    <x v="1"/>
    <s v="us-gaap/2024"/>
    <n v="20251231"/>
    <n v="0"/>
    <s v="USD"/>
    <s v=""/>
    <s v=""/>
    <n v="18531626000"/>
  </r>
  <r>
    <x v="117"/>
    <x v="5"/>
    <s v="us-gaap/2024"/>
    <n v="20251231"/>
    <n v="0"/>
    <s v="USD"/>
    <s v=""/>
    <s v=""/>
    <n v="2283268000"/>
  </r>
  <r>
    <x v="134"/>
    <x v="4"/>
    <s v="us-gaap/2025"/>
    <n v="20251231"/>
    <n v="4"/>
    <s v="USD"/>
    <s v=""/>
    <s v=""/>
    <n v="224135000"/>
  </r>
  <r>
    <x v="120"/>
    <x v="1"/>
    <s v="us-gaap/2025"/>
    <n v="20251231"/>
    <n v="0"/>
    <s v="USD"/>
    <s v=""/>
    <s v=""/>
    <n v="3064564000"/>
  </r>
  <r>
    <x v="123"/>
    <x v="4"/>
    <s v="us-gaap/2025"/>
    <n v="20251231"/>
    <n v="4"/>
    <s v="USD"/>
    <s v=""/>
    <s v=""/>
    <n v="61137000"/>
  </r>
  <r>
    <x v="135"/>
    <x v="1"/>
    <s v="us-gaap/2025"/>
    <n v="20251231"/>
    <n v="0"/>
    <s v="USD"/>
    <s v=""/>
    <s v=""/>
    <n v="15446476000"/>
  </r>
  <r>
    <x v="135"/>
    <x v="3"/>
    <s v="us-gaap/2025"/>
    <n v="20251231"/>
    <n v="4"/>
    <s v="USD"/>
    <s v=""/>
    <s v=""/>
    <n v="1.77"/>
  </r>
  <r>
    <x v="126"/>
    <x v="3"/>
    <s v="us-gaap/2025"/>
    <n v="20251231"/>
    <n v="4"/>
    <s v="USD"/>
    <s v=""/>
    <s v=""/>
    <n v="1.92"/>
  </r>
  <r>
    <x v="127"/>
    <x v="1"/>
    <s v="us-gaap/2025"/>
    <n v="20251231"/>
    <n v="0"/>
    <s v="USD"/>
    <s v=""/>
    <s v=""/>
    <n v="17727190000"/>
  </r>
  <r>
    <x v="127"/>
    <x v="4"/>
    <s v="us-gaap/2025"/>
    <n v="20251231"/>
    <n v="4"/>
    <s v="USD"/>
    <s v=""/>
    <s v=""/>
    <n v="276603000"/>
  </r>
  <r>
    <x v="132"/>
    <x v="0"/>
    <s v="us-gaap/2025"/>
    <n v="20251231"/>
    <n v="0"/>
    <s v="USD"/>
    <s v=""/>
    <s v=""/>
    <n v="5026671000"/>
  </r>
  <r>
    <x v="90"/>
    <x v="3"/>
    <s v="us-gaap/2025"/>
    <n v="20251231"/>
    <n v="4"/>
    <s v="USD"/>
    <s v=""/>
    <s v=""/>
    <n v="7.9"/>
  </r>
  <r>
    <x v="90"/>
    <x v="4"/>
    <s v="us-gaap/2025"/>
    <n v="20251231"/>
    <n v="4"/>
    <s v="USD"/>
    <s v=""/>
    <s v=""/>
    <n v="798667000"/>
  </r>
  <r>
    <x v="128"/>
    <x v="2"/>
    <s v="us-gaap/2025"/>
    <n v="20251231"/>
    <n v="4"/>
    <s v="USD"/>
    <s v=""/>
    <s v=""/>
    <n v="470950000"/>
  </r>
  <r>
    <x v="130"/>
    <x v="5"/>
    <s v="us-gaap/2025"/>
    <n v="20251231"/>
    <n v="0"/>
    <s v="USD"/>
    <s v=""/>
    <s v=""/>
    <n v="161054000"/>
  </r>
  <r>
    <x v="93"/>
    <x v="5"/>
    <s v="us-gaap/2025"/>
    <n v="20251231"/>
    <n v="0"/>
    <s v="USD"/>
    <s v=""/>
    <s v=""/>
    <n v="743112000"/>
  </r>
  <r>
    <x v="94"/>
    <x v="3"/>
    <s v="us-gaap/2025"/>
    <n v="20251231"/>
    <n v="4"/>
    <s v="USD"/>
    <s v=""/>
    <s v=""/>
    <n v="2.86"/>
  </r>
  <r>
    <x v="136"/>
    <x v="3"/>
    <s v="us-gaap/2025"/>
    <n v="20251231"/>
    <n v="4"/>
    <s v="USD"/>
    <s v=""/>
    <s v=""/>
    <n v="7.22"/>
  </r>
  <r>
    <x v="136"/>
    <x v="4"/>
    <s v="us-gaap/2025"/>
    <n v="20251231"/>
    <n v="4"/>
    <s v="USD"/>
    <s v=""/>
    <s v=""/>
    <n v="240610000"/>
  </r>
  <r>
    <x v="137"/>
    <x v="0"/>
    <s v="us-gaap/2025"/>
    <n v="20251231"/>
    <n v="0"/>
    <s v="USD"/>
    <s v=""/>
    <s v=""/>
    <n v="65400522000"/>
  </r>
  <r>
    <x v="91"/>
    <x v="1"/>
    <s v="us-gaap/2025"/>
    <n v="20251231"/>
    <n v="0"/>
    <s v="USD"/>
    <s v=""/>
    <s v=""/>
    <n v="5407002000"/>
  </r>
  <r>
    <x v="91"/>
    <x v="2"/>
    <s v="us-gaap/2025"/>
    <n v="20251231"/>
    <n v="4"/>
    <s v="USD"/>
    <s v=""/>
    <s v=""/>
    <n v="281848000"/>
  </r>
  <r>
    <x v="92"/>
    <x v="3"/>
    <s v="us-gaap/2024"/>
    <n v="20251231"/>
    <n v="4"/>
    <s v="USD"/>
    <s v=""/>
    <s v=""/>
    <n v="1.64"/>
  </r>
  <r>
    <x v="92"/>
    <x v="4"/>
    <s v="us-gaap/2024"/>
    <n v="20251231"/>
    <n v="4"/>
    <s v="USD"/>
    <s v=""/>
    <s v=""/>
    <n v="80310000"/>
  </r>
  <r>
    <x v="138"/>
    <x v="2"/>
    <s v="us-gaap/2025"/>
    <n v="20251231"/>
    <n v="4"/>
    <s v="USD"/>
    <s v=""/>
    <s v=""/>
    <n v="1570323000"/>
  </r>
  <r>
    <x v="138"/>
    <x v="4"/>
    <s v="us-gaap/2025"/>
    <n v="20251231"/>
    <n v="4"/>
    <s v="USD"/>
    <s v=""/>
    <s v=""/>
    <n v="542843000"/>
  </r>
  <r>
    <x v="134"/>
    <x v="0"/>
    <s v="us-gaap/2025"/>
    <n v="20251231"/>
    <n v="0"/>
    <s v="USD"/>
    <s v=""/>
    <s v=""/>
    <n v="16803534000"/>
  </r>
  <r>
    <x v="100"/>
    <x v="2"/>
    <s v="us-gaap/2025"/>
    <n v="20251231"/>
    <n v="4"/>
    <s v="USD"/>
    <s v=""/>
    <s v=""/>
    <n v="699275000"/>
  </r>
  <r>
    <x v="139"/>
    <x v="1"/>
    <s v="us-gaap/2025"/>
    <n v="20251231"/>
    <n v="0"/>
    <s v="USD"/>
    <s v=""/>
    <s v=""/>
    <n v="35472762000"/>
  </r>
  <r>
    <x v="139"/>
    <x v="2"/>
    <s v="us-gaap/2025"/>
    <n v="20251231"/>
    <n v="4"/>
    <s v="USD"/>
    <s v=""/>
    <s v=""/>
    <n v="1614620000"/>
  </r>
  <r>
    <x v="115"/>
    <x v="0"/>
    <s v="us-gaap/2025"/>
    <n v="20251231"/>
    <n v="0"/>
    <s v="USD"/>
    <s v=""/>
    <s v=""/>
    <n v="5939768000"/>
  </r>
  <r>
    <x v="101"/>
    <x v="2"/>
    <s v="us-gaap/2024"/>
    <n v="20251231"/>
    <n v="4"/>
    <s v="USD"/>
    <s v=""/>
    <s v=""/>
    <n v="466229000"/>
  </r>
  <r>
    <x v="102"/>
    <x v="3"/>
    <s v="us-gaap/2025"/>
    <n v="20251231"/>
    <n v="4"/>
    <s v="USD"/>
    <s v=""/>
    <s v=""/>
    <n v="6.23"/>
  </r>
  <r>
    <x v="140"/>
    <x v="3"/>
    <s v="us-gaap/2025"/>
    <n v="20251231"/>
    <n v="4"/>
    <s v="USD"/>
    <s v=""/>
    <s v=""/>
    <n v="2.5299999999999998"/>
  </r>
  <r>
    <x v="140"/>
    <x v="0"/>
    <s v="us-gaap/2025"/>
    <n v="20251231"/>
    <n v="0"/>
    <s v="USD"/>
    <s v=""/>
    <s v=""/>
    <n v="7072799000"/>
  </r>
  <r>
    <x v="141"/>
    <x v="5"/>
    <s v="us-gaap/2025"/>
    <n v="20251231"/>
    <n v="0"/>
    <s v="USD"/>
    <s v=""/>
    <s v=""/>
    <n v="1267906000"/>
  </r>
  <r>
    <x v="142"/>
    <x v="5"/>
    <s v="us-gaap/2025"/>
    <n v="20251231"/>
    <n v="0"/>
    <s v="USD"/>
    <s v=""/>
    <s v=""/>
    <n v="2295224000"/>
  </r>
  <r>
    <x v="143"/>
    <x v="2"/>
    <s v="us-gaap/2025"/>
    <n v="20251231"/>
    <n v="4"/>
    <s v="USD"/>
    <s v=""/>
    <s v=""/>
    <n v="1271940000"/>
  </r>
  <r>
    <x v="143"/>
    <x v="4"/>
    <s v="us-gaap/2025"/>
    <n v="20251231"/>
    <n v="4"/>
    <s v="USD"/>
    <s v=""/>
    <s v=""/>
    <n v="223105000"/>
  </r>
  <r>
    <x v="104"/>
    <x v="0"/>
    <s v="us-gaap/2025"/>
    <n v="20251231"/>
    <n v="0"/>
    <s v="USD"/>
    <s v=""/>
    <s v=""/>
    <n v="4151350000"/>
  </r>
  <r>
    <x v="119"/>
    <x v="0"/>
    <s v="us-gaap/2025"/>
    <n v="20251231"/>
    <n v="0"/>
    <s v="USD"/>
    <s v=""/>
    <s v=""/>
    <n v="2066912000"/>
  </r>
  <r>
    <x v="119"/>
    <x v="4"/>
    <s v="us-gaap/2025"/>
    <n v="20251231"/>
    <n v="4"/>
    <s v="USD"/>
    <s v=""/>
    <s v=""/>
    <n v="21233000"/>
  </r>
  <r>
    <x v="143"/>
    <x v="5"/>
    <s v="us-gaap/2025"/>
    <n v="20251231"/>
    <n v="0"/>
    <s v="USD"/>
    <s v=""/>
    <s v=""/>
    <n v="4031913000"/>
  </r>
  <r>
    <x v="139"/>
    <x v="5"/>
    <s v="us-gaap/2025"/>
    <n v="20251231"/>
    <n v="0"/>
    <s v="USD"/>
    <s v=""/>
    <s v=""/>
    <n v="4460117000"/>
  </r>
  <r>
    <x v="137"/>
    <x v="5"/>
    <s v="us-gaap/2025"/>
    <n v="20251231"/>
    <n v="0"/>
    <s v="USD"/>
    <s v=""/>
    <s v=""/>
    <n v="7693568000"/>
  </r>
  <r>
    <x v="134"/>
    <x v="3"/>
    <s v="us-gaap/2025"/>
    <n v="20251231"/>
    <n v="4"/>
    <s v="USD"/>
    <s v=""/>
    <s v=""/>
    <n v="3.72"/>
  </r>
  <r>
    <x v="144"/>
    <x v="3"/>
    <s v="us-gaap/2025"/>
    <n v="20251231"/>
    <n v="4"/>
    <s v="USD"/>
    <s v=""/>
    <s v=""/>
    <n v="3.84"/>
  </r>
  <r>
    <x v="145"/>
    <x v="0"/>
    <s v="us-gaap/2024"/>
    <n v="20251231"/>
    <n v="0"/>
    <s v="USD"/>
    <s v=""/>
    <s v=""/>
    <n v="69099188000"/>
  </r>
  <r>
    <x v="145"/>
    <x v="4"/>
    <s v="us-gaap/2024"/>
    <n v="20251231"/>
    <n v="4"/>
    <s v="USD"/>
    <s v=""/>
    <s v=""/>
    <n v="833159000"/>
  </r>
  <r>
    <x v="146"/>
    <x v="0"/>
    <s v="us-gaap/2025"/>
    <n v="20251231"/>
    <n v="0"/>
    <s v="USD"/>
    <s v=""/>
    <s v=""/>
    <n v="28164298000"/>
  </r>
  <r>
    <x v="110"/>
    <x v="1"/>
    <s v="us-gaap/2025"/>
    <n v="20251231"/>
    <n v="0"/>
    <s v="USD"/>
    <s v=""/>
    <s v=""/>
    <n v="5860810000"/>
  </r>
  <r>
    <x v="110"/>
    <x v="6"/>
    <s v="us-gaap/2025"/>
    <n v="20251231"/>
    <n v="4"/>
    <s v="USD"/>
    <s v=""/>
    <s v=""/>
    <n v="285972000"/>
  </r>
  <r>
    <x v="110"/>
    <x v="0"/>
    <s v="us-gaap/2025"/>
    <n v="20251231"/>
    <n v="0"/>
    <s v="USD"/>
    <s v=""/>
    <s v=""/>
    <n v="5308318000"/>
  </r>
  <r>
    <x v="14"/>
    <x v="2"/>
    <s v="us-gaap/2025"/>
    <n v="20251231"/>
    <n v="4"/>
    <s v="USD"/>
    <s v=""/>
    <s v=""/>
    <n v="7502000000"/>
  </r>
  <r>
    <x v="109"/>
    <x v="2"/>
    <s v="us-gaap/2025"/>
    <n v="20251231"/>
    <n v="4"/>
    <s v="USD"/>
    <s v=""/>
    <s v=""/>
    <n v="200442000"/>
  </r>
  <r>
    <x v="133"/>
    <x v="1"/>
    <s v="us-gaap/2025"/>
    <n v="20251231"/>
    <n v="0"/>
    <s v="USD"/>
    <s v=""/>
    <s v=""/>
    <n v="857445000"/>
  </r>
  <r>
    <x v="147"/>
    <x v="1"/>
    <s v="us-gaap/2025"/>
    <n v="20251231"/>
    <n v="0"/>
    <s v="USD"/>
    <s v=""/>
    <s v=""/>
    <n v="4081887000"/>
  </r>
  <r>
    <x v="147"/>
    <x v="2"/>
    <s v="us-gaap/2025"/>
    <n v="20251231"/>
    <n v="4"/>
    <s v="USD"/>
    <s v=""/>
    <s v=""/>
    <n v="247310000"/>
  </r>
  <r>
    <x v="135"/>
    <x v="2"/>
    <s v="us-gaap/2025"/>
    <n v="20251231"/>
    <n v="4"/>
    <s v="USD"/>
    <s v=""/>
    <s v=""/>
    <n v="702480000"/>
  </r>
  <r>
    <x v="135"/>
    <x v="4"/>
    <s v="us-gaap/2025"/>
    <n v="20251231"/>
    <n v="4"/>
    <s v="USD"/>
    <s v=""/>
    <s v=""/>
    <n v="253579000"/>
  </r>
  <r>
    <x v="135"/>
    <x v="5"/>
    <s v="us-gaap/2025"/>
    <n v="20251231"/>
    <n v="0"/>
    <s v="USD"/>
    <s v=""/>
    <s v=""/>
    <n v="1917317000"/>
  </r>
  <r>
    <x v="17"/>
    <x v="5"/>
    <s v="us-gaap/2025"/>
    <n v="20251231"/>
    <n v="0"/>
    <s v="USD"/>
    <s v=""/>
    <s v=""/>
    <n v="65189000000"/>
  </r>
  <r>
    <x v="136"/>
    <x v="1"/>
    <s v="us-gaap/2025"/>
    <n v="20251231"/>
    <n v="0"/>
    <s v="USD"/>
    <s v=""/>
    <s v=""/>
    <n v="14838893000"/>
  </r>
  <r>
    <x v="136"/>
    <x v="5"/>
    <s v="us-gaap/2025"/>
    <n v="20251231"/>
    <n v="0"/>
    <s v="USD"/>
    <s v=""/>
    <s v=""/>
    <n v="1854125000"/>
  </r>
  <r>
    <x v="144"/>
    <x v="2"/>
    <s v="us-gaap/2025"/>
    <n v="20251231"/>
    <n v="4"/>
    <s v="USD"/>
    <s v=""/>
    <s v=""/>
    <n v="372990000"/>
  </r>
  <r>
    <x v="146"/>
    <x v="1"/>
    <s v="us-gaap/2025"/>
    <n v="20251231"/>
    <n v="0"/>
    <s v="USD"/>
    <s v=""/>
    <s v=""/>
    <n v="33660281000"/>
  </r>
  <r>
    <x v="140"/>
    <x v="4"/>
    <s v="us-gaap/2025"/>
    <n v="20251231"/>
    <n v="4"/>
    <s v="USD"/>
    <s v=""/>
    <s v=""/>
    <n v="76089000"/>
  </r>
  <r>
    <x v="114"/>
    <x v="2"/>
    <s v="us-gaap/2025"/>
    <n v="20251231"/>
    <n v="4"/>
    <s v="USD"/>
    <s v=""/>
    <s v=""/>
    <n v="14627000"/>
  </r>
  <r>
    <x v="141"/>
    <x v="1"/>
    <s v="us-gaap/2025"/>
    <n v="20251231"/>
    <n v="0"/>
    <s v="USD"/>
    <s v=""/>
    <s v=""/>
    <n v="9652676000"/>
  </r>
  <r>
    <x v="141"/>
    <x v="3"/>
    <s v="us-gaap/2025"/>
    <n v="20251231"/>
    <n v="4"/>
    <s v="USD"/>
    <s v=""/>
    <s v=""/>
    <n v="2.9"/>
  </r>
  <r>
    <x v="138"/>
    <x v="1"/>
    <s v="us-gaap/2025"/>
    <n v="20251231"/>
    <n v="0"/>
    <s v="USD"/>
    <s v=""/>
    <s v=""/>
    <n v="38463425000"/>
  </r>
  <r>
    <x v="141"/>
    <x v="4"/>
    <s v="us-gaap/2025"/>
    <n v="20251231"/>
    <n v="4"/>
    <s v="USD"/>
    <s v=""/>
    <s v=""/>
    <n v="130051000"/>
  </r>
  <r>
    <x v="142"/>
    <x v="2"/>
    <s v="us-gaap/2025"/>
    <n v="20251231"/>
    <n v="4"/>
    <s v="USD"/>
    <s v=""/>
    <s v=""/>
    <n v="593301000"/>
  </r>
  <r>
    <x v="148"/>
    <x v="2"/>
    <s v="us-gaap/2025"/>
    <n v="20251231"/>
    <n v="4"/>
    <s v="USD"/>
    <s v=""/>
    <s v=""/>
    <n v="57820000"/>
  </r>
  <r>
    <x v="143"/>
    <x v="3"/>
    <s v="us-gaap/2025"/>
    <n v="20251231"/>
    <n v="4"/>
    <s v="USD"/>
    <s v=""/>
    <s v=""/>
    <n v="2.23"/>
  </r>
  <r>
    <x v="139"/>
    <x v="0"/>
    <s v="us-gaap/2025"/>
    <n v="20251231"/>
    <n v="0"/>
    <s v="USD"/>
    <s v=""/>
    <s v=""/>
    <n v="31012645000"/>
  </r>
  <r>
    <x v="144"/>
    <x v="0"/>
    <s v="us-gaap/2025"/>
    <n v="20251231"/>
    <n v="0"/>
    <s v="USD"/>
    <s v=""/>
    <s v=""/>
    <n v="7007966000"/>
  </r>
  <r>
    <x v="144"/>
    <x v="4"/>
    <s v="us-gaap/2025"/>
    <n v="20251231"/>
    <n v="4"/>
    <s v="USD"/>
    <s v=""/>
    <s v=""/>
    <n v="91749000"/>
  </r>
  <r>
    <x v="20"/>
    <x v="5"/>
    <s v="us-gaap/2025"/>
    <n v="20251231"/>
    <n v="0"/>
    <s v="USD"/>
    <s v=""/>
    <s v=""/>
    <n v="27841000000"/>
  </r>
  <r>
    <x v="149"/>
    <x v="4"/>
    <s v="us-gaap/2025"/>
    <n v="20251231"/>
    <n v="4"/>
    <s v="USD"/>
    <s v=""/>
    <s v=""/>
    <n v="22726000"/>
  </r>
  <r>
    <x v="144"/>
    <x v="1"/>
    <s v="us-gaap/2025"/>
    <n v="20251231"/>
    <n v="0"/>
    <s v="USD"/>
    <s v=""/>
    <s v=""/>
    <n v="7966658000"/>
  </r>
  <r>
    <x v="140"/>
    <x v="1"/>
    <s v="us-gaap/2025"/>
    <n v="20251231"/>
    <n v="0"/>
    <s v="USD"/>
    <s v=""/>
    <s v=""/>
    <n v="7869185000"/>
  </r>
  <r>
    <x v="150"/>
    <x v="4"/>
    <s v="us-gaap/2025"/>
    <n v="20251231"/>
    <n v="4"/>
    <s v="USD"/>
    <s v=""/>
    <s v=""/>
    <n v="74867000"/>
  </r>
  <r>
    <x v="151"/>
    <x v="3"/>
    <s v="us-gaap/2025"/>
    <n v="20251231"/>
    <n v="4"/>
    <s v="USD"/>
    <s v=""/>
    <s v=""/>
    <n v="5.43"/>
  </r>
  <r>
    <x v="151"/>
    <x v="0"/>
    <s v="us-gaap/2025"/>
    <n v="20251231"/>
    <n v="0"/>
    <s v="USD"/>
    <s v=""/>
    <s v=""/>
    <n v="3487525000"/>
  </r>
  <r>
    <x v="151"/>
    <x v="5"/>
    <s v="us-gaap/2025"/>
    <n v="20251231"/>
    <n v="0"/>
    <s v="USD"/>
    <s v=""/>
    <s v=""/>
    <n v="293627000"/>
  </r>
  <r>
    <x v="152"/>
    <x v="1"/>
    <s v="us-gaap/2025"/>
    <n v="20251231"/>
    <n v="0"/>
    <s v="USD"/>
    <s v=""/>
    <s v=""/>
    <n v="5878956000"/>
  </r>
  <r>
    <x v="153"/>
    <x v="3"/>
    <s v="us-gaap/2025"/>
    <n v="20251231"/>
    <n v="4"/>
    <s v="USD"/>
    <s v=""/>
    <s v=""/>
    <n v="1.03"/>
  </r>
  <r>
    <x v="152"/>
    <x v="2"/>
    <s v="us-gaap/2025"/>
    <n v="20251231"/>
    <n v="4"/>
    <s v="USD"/>
    <s v=""/>
    <s v=""/>
    <n v="326187000"/>
  </r>
  <r>
    <x v="152"/>
    <x v="0"/>
    <s v="us-gaap/2025"/>
    <n v="20251231"/>
    <n v="0"/>
    <s v="USD"/>
    <s v=""/>
    <s v=""/>
    <n v="5297271000"/>
  </r>
  <r>
    <x v="141"/>
    <x v="2"/>
    <s v="us-gaap/2025"/>
    <n v="20251231"/>
    <n v="4"/>
    <s v="USD"/>
    <s v=""/>
    <s v=""/>
    <n v="572220000"/>
  </r>
  <r>
    <x v="141"/>
    <x v="0"/>
    <s v="us-gaap/2025"/>
    <n v="20251231"/>
    <n v="0"/>
    <s v="USD"/>
    <s v=""/>
    <s v=""/>
    <n v="8384770000"/>
  </r>
  <r>
    <x v="142"/>
    <x v="1"/>
    <s v="us-gaap/2025"/>
    <n v="20251231"/>
    <n v="0"/>
    <s v="USD"/>
    <s v=""/>
    <s v=""/>
    <n v="15631054000"/>
  </r>
  <r>
    <x v="154"/>
    <x v="1"/>
    <s v="us-gaap/2025"/>
    <n v="20251231"/>
    <n v="0"/>
    <s v="USD"/>
    <s v=""/>
    <s v=""/>
    <n v="2306586000"/>
  </r>
  <r>
    <x v="143"/>
    <x v="0"/>
    <s v="us-gaap/2025"/>
    <n v="20251231"/>
    <n v="0"/>
    <s v="USD"/>
    <s v=""/>
    <s v=""/>
    <n v="23664420000"/>
  </r>
  <r>
    <x v="155"/>
    <x v="0"/>
    <s v="us-gaap/2025"/>
    <n v="20251231"/>
    <n v="0"/>
    <s v="USD"/>
    <s v=""/>
    <s v=""/>
    <n v="3945198000"/>
  </r>
  <r>
    <x v="156"/>
    <x v="4"/>
    <s v="us-gaap/2025"/>
    <n v="20251231"/>
    <n v="4"/>
    <s v="USD"/>
    <s v=""/>
    <s v=""/>
    <n v="14090000"/>
  </r>
  <r>
    <x v="157"/>
    <x v="0"/>
    <s v="us-gaap/2025"/>
    <n v="20251231"/>
    <n v="0"/>
    <s v="USD"/>
    <s v=""/>
    <s v=""/>
    <n v="1166456000"/>
  </r>
  <r>
    <x v="145"/>
    <x v="1"/>
    <s v="us-gaap/2024"/>
    <n v="20251231"/>
    <n v="0"/>
    <s v="USD"/>
    <s v=""/>
    <s v=""/>
    <n v="75348267000"/>
  </r>
  <r>
    <x v="118"/>
    <x v="5"/>
    <s v="us-gaap/2025"/>
    <n v="20251231"/>
    <n v="0"/>
    <s v="USD"/>
    <s v=""/>
    <s v=""/>
    <n v="856072000"/>
  </r>
  <r>
    <x v="131"/>
    <x v="5"/>
    <s v="us-gaap/2025"/>
    <n v="20251231"/>
    <n v="0"/>
    <s v="USD"/>
    <s v=""/>
    <s v=""/>
    <n v="1896216000"/>
  </r>
  <r>
    <x v="158"/>
    <x v="3"/>
    <s v="us-gaap/2025"/>
    <n v="20251231"/>
    <n v="4"/>
    <s v="USD"/>
    <s v=""/>
    <s v=""/>
    <n v="3.59"/>
  </r>
  <r>
    <x v="120"/>
    <x v="3"/>
    <s v="us-gaap/2025"/>
    <n v="20251231"/>
    <n v="4"/>
    <s v="USD"/>
    <s v=""/>
    <s v=""/>
    <n v="7.62"/>
  </r>
  <r>
    <x v="121"/>
    <x v="2"/>
    <s v="us-gaap/2025"/>
    <n v="20251231"/>
    <n v="4"/>
    <s v="USD"/>
    <s v=""/>
    <s v=""/>
    <n v="85237000"/>
  </r>
  <r>
    <x v="122"/>
    <x v="5"/>
    <s v="us-gaap/2025"/>
    <n v="20251231"/>
    <n v="0"/>
    <s v="USD"/>
    <s v=""/>
    <s v=""/>
    <n v="645514000"/>
  </r>
  <r>
    <x v="124"/>
    <x v="1"/>
    <s v="us-gaap/2025"/>
    <n v="20251231"/>
    <n v="0"/>
    <s v="USD"/>
    <s v=""/>
    <s v=""/>
    <n v="1963640000"/>
  </r>
  <r>
    <x v="124"/>
    <x v="3"/>
    <s v="us-gaap/2025"/>
    <n v="20251231"/>
    <n v="4"/>
    <s v="USD"/>
    <s v=""/>
    <s v=""/>
    <n v="4.5599999999999996"/>
  </r>
  <r>
    <x v="150"/>
    <x v="1"/>
    <s v="us-gaap/2025"/>
    <n v="20251231"/>
    <n v="0"/>
    <s v="USD"/>
    <s v=""/>
    <s v=""/>
    <n v="6274140000"/>
  </r>
  <r>
    <x v="126"/>
    <x v="5"/>
    <s v="us-gaap/2025"/>
    <n v="20251231"/>
    <n v="0"/>
    <s v="USD"/>
    <s v=""/>
    <s v=""/>
    <n v="265985000"/>
  </r>
  <r>
    <x v="132"/>
    <x v="3"/>
    <s v="us-gaap/2025"/>
    <n v="20251231"/>
    <n v="4"/>
    <s v="USD"/>
    <s v=""/>
    <s v=""/>
    <n v="4.5199999999999996"/>
  </r>
  <r>
    <x v="153"/>
    <x v="2"/>
    <s v="us-gaap/2025"/>
    <n v="20251231"/>
    <n v="4"/>
    <s v="USD"/>
    <s v=""/>
    <s v=""/>
    <n v="59415000"/>
  </r>
  <r>
    <x v="159"/>
    <x v="1"/>
    <s v="us-gaap/2025"/>
    <n v="20251231"/>
    <n v="0"/>
    <s v="USD"/>
    <s v=""/>
    <s v=""/>
    <n v="2117321000"/>
  </r>
  <r>
    <x v="154"/>
    <x v="3"/>
    <s v="us-gaap/2025"/>
    <n v="20251231"/>
    <n v="4"/>
    <s v="USD"/>
    <s v=""/>
    <s v=""/>
    <n v="2.2400000000000002"/>
  </r>
  <r>
    <x v="129"/>
    <x v="1"/>
    <s v="us-gaap/2025"/>
    <n v="20251231"/>
    <n v="0"/>
    <s v="USD"/>
    <s v=""/>
    <s v=""/>
    <n v="1673199000"/>
  </r>
  <r>
    <x v="129"/>
    <x v="5"/>
    <s v="us-gaap/2025"/>
    <n v="20251231"/>
    <n v="0"/>
    <s v="USD"/>
    <s v=""/>
    <s v=""/>
    <n v="192541000"/>
  </r>
  <r>
    <x v="160"/>
    <x v="4"/>
    <s v="us-gaap/2025"/>
    <n v="20251231"/>
    <n v="4"/>
    <s v="USD"/>
    <s v=""/>
    <s v=""/>
    <n v="33511000"/>
  </r>
  <r>
    <x v="161"/>
    <x v="0"/>
    <s v="us-gaap/2025"/>
    <n v="20251231"/>
    <n v="0"/>
    <s v="USD"/>
    <s v=""/>
    <s v=""/>
    <n v="2108898000"/>
  </r>
  <r>
    <x v="162"/>
    <x v="4"/>
    <s v="us-gaap/2025"/>
    <n v="20251231"/>
    <n v="4"/>
    <s v="USD"/>
    <s v=""/>
    <s v=""/>
    <n v="82353000"/>
  </r>
  <r>
    <x v="150"/>
    <x v="0"/>
    <s v="us-gaap/2025"/>
    <n v="20251231"/>
    <n v="0"/>
    <s v="USD"/>
    <s v=""/>
    <s v=""/>
    <n v="5645286000"/>
  </r>
  <r>
    <x v="3"/>
    <x v="4"/>
    <s v="us-gaap/2025"/>
    <n v="20251231"/>
    <n v="4"/>
    <s v="USD"/>
    <s v=""/>
    <s v=""/>
    <n v="2522000000"/>
  </r>
  <r>
    <x v="5"/>
    <x v="5"/>
    <s v="us-gaap/2025"/>
    <n v="20251231"/>
    <n v="0"/>
    <s v="USD"/>
    <s v=""/>
    <s v=""/>
    <n v="29177000000"/>
  </r>
  <r>
    <x v="7"/>
    <x v="1"/>
    <s v="us-gaap/2025"/>
    <n v="20251231"/>
    <n v="0"/>
    <s v="USD"/>
    <s v=""/>
    <s v=""/>
    <n v="50229000000"/>
  </r>
  <r>
    <x v="7"/>
    <x v="5"/>
    <s v="us-gaap/2025"/>
    <n v="20251231"/>
    <n v="0"/>
    <s v="USD"/>
    <s v=""/>
    <s v=""/>
    <n v="6759000000"/>
  </r>
  <r>
    <x v="155"/>
    <x v="3"/>
    <s v="us-gaap/2025"/>
    <n v="20251231"/>
    <n v="4"/>
    <s v="USD"/>
    <s v=""/>
    <s v=""/>
    <n v="2.02"/>
  </r>
  <r>
    <x v="155"/>
    <x v="5"/>
    <s v="us-gaap/2025"/>
    <n v="20251231"/>
    <n v="0"/>
    <s v="USD"/>
    <s v=""/>
    <s v=""/>
    <n v="465353000"/>
  </r>
  <r>
    <x v="157"/>
    <x v="1"/>
    <s v="us-gaap/2025"/>
    <n v="20251231"/>
    <n v="0"/>
    <s v="USD"/>
    <s v=""/>
    <s v=""/>
    <n v="1292736000"/>
  </r>
  <r>
    <x v="163"/>
    <x v="2"/>
    <s v="us-gaap/2025"/>
    <n v="20251231"/>
    <n v="4"/>
    <s v="USD"/>
    <s v=""/>
    <s v=""/>
    <n v="220985000"/>
  </r>
  <r>
    <x v="163"/>
    <x v="5"/>
    <s v="us-gaap/2025"/>
    <n v="20251231"/>
    <n v="0"/>
    <s v="USD"/>
    <s v=""/>
    <s v=""/>
    <n v="543474000"/>
  </r>
  <r>
    <x v="159"/>
    <x v="5"/>
    <s v="us-gaap/2025"/>
    <n v="20251231"/>
    <n v="0"/>
    <s v="USD"/>
    <s v=""/>
    <s v=""/>
    <n v="184426000"/>
  </r>
  <r>
    <x v="162"/>
    <x v="3"/>
    <s v="us-gaap/2025"/>
    <n v="20251231"/>
    <n v="4"/>
    <s v="USD"/>
    <s v=""/>
    <s v=""/>
    <n v="6.76"/>
  </r>
  <r>
    <x v="148"/>
    <x v="5"/>
    <s v="us-gaap/2025"/>
    <n v="20251231"/>
    <n v="0"/>
    <s v="USD"/>
    <s v=""/>
    <s v=""/>
    <n v="64902000"/>
  </r>
  <r>
    <x v="150"/>
    <x v="5"/>
    <s v="us-gaap/2025"/>
    <n v="20251231"/>
    <n v="0"/>
    <s v="USD"/>
    <s v=""/>
    <s v=""/>
    <n v="628854000"/>
  </r>
  <r>
    <x v="15"/>
    <x v="2"/>
    <s v="us-gaap/2025"/>
    <n v="20251231"/>
    <n v="4"/>
    <s v="USD"/>
    <s v=""/>
    <s v=""/>
    <n v="138566000000"/>
  </r>
  <r>
    <x v="15"/>
    <x v="0"/>
    <s v="us-gaap/2025"/>
    <n v="20251231"/>
    <n v="0"/>
    <s v="USD"/>
    <s v=""/>
    <s v=""/>
    <n v="3108495000000"/>
  </r>
  <r>
    <x v="16"/>
    <x v="4"/>
    <s v="us-gaap/2025"/>
    <n v="20251231"/>
    <n v="4"/>
    <s v="USD"/>
    <s v=""/>
    <s v=""/>
    <n v="1736900000"/>
  </r>
  <r>
    <x v="160"/>
    <x v="1"/>
    <s v="us-gaap/2025"/>
    <n v="20251231"/>
    <n v="0"/>
    <s v="USD"/>
    <s v=""/>
    <s v=""/>
    <n v="3070929000"/>
  </r>
  <r>
    <x v="20"/>
    <x v="1"/>
    <s v="us-gaap/2025"/>
    <n v="20251231"/>
    <n v="0"/>
    <s v="USD"/>
    <s v=""/>
    <s v=""/>
    <n v="366047000000"/>
  </r>
  <r>
    <x v="153"/>
    <x v="0"/>
    <s v="us-gaap/2025"/>
    <n v="20251231"/>
    <n v="0"/>
    <s v="USD"/>
    <s v=""/>
    <s v=""/>
    <n v="1049137000"/>
  </r>
  <r>
    <x v="159"/>
    <x v="3"/>
    <s v="us-gaap/2025"/>
    <n v="20251231"/>
    <n v="4"/>
    <s v="USD"/>
    <s v=""/>
    <s v=""/>
    <n v="2.7"/>
  </r>
  <r>
    <x v="159"/>
    <x v="2"/>
    <s v="us-gaap/2025"/>
    <n v="20251231"/>
    <n v="4"/>
    <s v="USD"/>
    <s v=""/>
    <s v=""/>
    <n v="119995000"/>
  </r>
  <r>
    <x v="20"/>
    <x v="2"/>
    <s v="us-gaap/2025"/>
    <n v="20251231"/>
    <n v="4"/>
    <s v="USD"/>
    <s v=""/>
    <s v=""/>
    <n v="11644000000"/>
  </r>
  <r>
    <x v="149"/>
    <x v="5"/>
    <s v="us-gaap/2025"/>
    <n v="20251231"/>
    <n v="0"/>
    <s v="USD"/>
    <s v=""/>
    <s v=""/>
    <n v="732054000"/>
  </r>
  <r>
    <x v="156"/>
    <x v="1"/>
    <s v="us-gaap/2025"/>
    <n v="20251231"/>
    <n v="0"/>
    <s v="USD"/>
    <s v=""/>
    <s v=""/>
    <n v="1906005000"/>
  </r>
  <r>
    <x v="160"/>
    <x v="0"/>
    <s v="us-gaap/2025"/>
    <n v="20251231"/>
    <n v="0"/>
    <s v="USD"/>
    <s v=""/>
    <s v=""/>
    <n v="2764497000"/>
  </r>
  <r>
    <x v="19"/>
    <x v="3"/>
    <s v="us-gaap/2025"/>
    <n v="20251231"/>
    <n v="4"/>
    <s v="USD"/>
    <s v=""/>
    <s v=""/>
    <n v="6.01"/>
  </r>
  <r>
    <x v="164"/>
    <x v="3"/>
    <s v="us-gaap/2025"/>
    <n v="20251231"/>
    <n v="4"/>
    <s v="USD"/>
    <s v=""/>
    <s v=""/>
    <n v="2.08"/>
  </r>
  <r>
    <x v="164"/>
    <x v="0"/>
    <s v="us-gaap/2025"/>
    <n v="20251231"/>
    <n v="0"/>
    <s v="USD"/>
    <s v=""/>
    <s v=""/>
    <n v="926744000"/>
  </r>
  <r>
    <x v="24"/>
    <x v="3"/>
    <s v="us-gaap/2025"/>
    <n v="20251231"/>
    <n v="4"/>
    <s v="USD"/>
    <s v=""/>
    <s v=""/>
    <n v="1.49"/>
  </r>
  <r>
    <x v="21"/>
    <x v="2"/>
    <s v="us-gaap/2025"/>
    <n v="20251231"/>
    <n v="4"/>
    <s v="USD"/>
    <s v=""/>
    <s v=""/>
    <n v="514306000"/>
  </r>
  <r>
    <x v="21"/>
    <x v="4"/>
    <s v="us-gaap/2025"/>
    <n v="20251231"/>
    <n v="4"/>
    <s v="USD"/>
    <s v=""/>
    <s v=""/>
    <n v="106778000"/>
  </r>
  <r>
    <x v="50"/>
    <x v="1"/>
    <s v="us-gaap/2025"/>
    <n v="20251231"/>
    <n v="0"/>
    <s v="USD"/>
    <s v=""/>
    <s v=""/>
    <n v="27515879000"/>
  </r>
  <r>
    <x v="165"/>
    <x v="3"/>
    <s v="us-gaap/2025"/>
    <n v="20251231"/>
    <n v="4"/>
    <s v="USD"/>
    <s v=""/>
    <s v=""/>
    <n v="2.73"/>
  </r>
  <r>
    <x v="165"/>
    <x v="4"/>
    <s v="us-gaap/2025"/>
    <n v="20251231"/>
    <n v="4"/>
    <s v="USD"/>
    <s v=""/>
    <s v=""/>
    <n v="18611000"/>
  </r>
  <r>
    <x v="22"/>
    <x v="0"/>
    <s v="us-gaap/2025"/>
    <n v="20251231"/>
    <n v="0"/>
    <s v="USD"/>
    <s v=""/>
    <s v=""/>
    <n v="28627953000"/>
  </r>
  <r>
    <x v="36"/>
    <x v="5"/>
    <s v="us-gaap/2025"/>
    <n v="20251231"/>
    <n v="0"/>
    <s v="USD"/>
    <s v=""/>
    <s v=""/>
    <n v="847615000"/>
  </r>
  <r>
    <x v="38"/>
    <x v="5"/>
    <s v="us-gaap/2025"/>
    <n v="20251231"/>
    <n v="0"/>
    <s v="USD"/>
    <s v=""/>
    <s v=""/>
    <n v="8494788000"/>
  </r>
  <r>
    <x v="157"/>
    <x v="3"/>
    <s v="us-gaap/2025"/>
    <n v="20251231"/>
    <n v="4"/>
    <s v="USD"/>
    <s v=""/>
    <s v=""/>
    <n v="5.07"/>
  </r>
  <r>
    <x v="157"/>
    <x v="2"/>
    <s v="us-gaap/2025"/>
    <n v="20251231"/>
    <n v="4"/>
    <s v="USD"/>
    <s v=""/>
    <s v=""/>
    <n v="57037000"/>
  </r>
  <r>
    <x v="40"/>
    <x v="5"/>
    <s v="us-gaap/2025"/>
    <n v="20251231"/>
    <n v="0"/>
    <s v="USD"/>
    <s v=""/>
    <s v=""/>
    <n v="375920000"/>
  </r>
  <r>
    <x v="29"/>
    <x v="3"/>
    <s v="us-gaap/2025"/>
    <n v="20251231"/>
    <n v="4"/>
    <s v="USD"/>
    <s v=""/>
    <s v=""/>
    <n v="6.68"/>
  </r>
  <r>
    <x v="29"/>
    <x v="5"/>
    <s v="us-gaap/2025"/>
    <n v="20251231"/>
    <n v="0"/>
    <s v="USD"/>
    <s v=""/>
    <s v=""/>
    <n v="650869000"/>
  </r>
  <r>
    <x v="134"/>
    <x v="2"/>
    <s v="us-gaap/2025"/>
    <n v="20251231"/>
    <n v="4"/>
    <s v="USD"/>
    <s v=""/>
    <s v=""/>
    <n v="948622000"/>
  </r>
  <r>
    <x v="154"/>
    <x v="0"/>
    <s v="us-gaap/2025"/>
    <n v="20251231"/>
    <n v="0"/>
    <s v="USD"/>
    <s v=""/>
    <s v=""/>
    <n v="2047057000"/>
  </r>
  <r>
    <x v="154"/>
    <x v="5"/>
    <s v="us-gaap/2025"/>
    <n v="20251231"/>
    <n v="0"/>
    <s v="USD"/>
    <s v=""/>
    <s v=""/>
    <n v="259529000"/>
  </r>
  <r>
    <x v="160"/>
    <x v="3"/>
    <s v="us-gaap/2025"/>
    <n v="20251231"/>
    <n v="4"/>
    <s v="USD"/>
    <s v=""/>
    <s v=""/>
    <n v="0.9"/>
  </r>
  <r>
    <x v="164"/>
    <x v="2"/>
    <s v="us-gaap/2025"/>
    <n v="20251231"/>
    <n v="4"/>
    <s v="USD"/>
    <s v=""/>
    <s v=""/>
    <n v="40768000"/>
  </r>
  <r>
    <x v="34"/>
    <x v="1"/>
    <s v="us-gaap/2025"/>
    <n v="20251231"/>
    <n v="0"/>
    <s v="USD"/>
    <s v=""/>
    <s v=""/>
    <n v="2239018000"/>
  </r>
  <r>
    <x v="166"/>
    <x v="4"/>
    <s v="us-gaap/2025"/>
    <n v="20251231"/>
    <n v="4"/>
    <s v="USD"/>
    <s v=""/>
    <s v=""/>
    <n v="20929000"/>
  </r>
  <r>
    <x v="161"/>
    <x v="1"/>
    <s v="us-gaap/2025"/>
    <n v="20251231"/>
    <n v="0"/>
    <s v="USD"/>
    <s v=""/>
    <s v=""/>
    <n v="2432589000"/>
  </r>
  <r>
    <x v="35"/>
    <x v="3"/>
    <s v="us-gaap/2025"/>
    <n v="20251231"/>
    <n v="4"/>
    <s v="USD"/>
    <s v=""/>
    <s v=""/>
    <n v="8.94"/>
  </r>
  <r>
    <x v="49"/>
    <x v="3"/>
    <s v="us-gaap/2025"/>
    <n v="20251231"/>
    <n v="4"/>
    <s v="USD"/>
    <s v=""/>
    <s v=""/>
    <n v="6.82"/>
  </r>
  <r>
    <x v="42"/>
    <x v="1"/>
    <s v="us-gaap/2025"/>
    <n v="20251231"/>
    <n v="0"/>
    <s v="USD"/>
    <s v=""/>
    <s v=""/>
    <n v="8396435000"/>
  </r>
  <r>
    <x v="42"/>
    <x v="4"/>
    <s v="us-gaap/2025"/>
    <n v="20251231"/>
    <n v="4"/>
    <s v="USD"/>
    <s v=""/>
    <s v=""/>
    <n v="66131000"/>
  </r>
  <r>
    <x v="44"/>
    <x v="2"/>
    <s v="us-gaap/2025"/>
    <n v="20251231"/>
    <n v="4"/>
    <s v="USD"/>
    <s v=""/>
    <s v=""/>
    <n v="77199000"/>
  </r>
  <r>
    <x v="46"/>
    <x v="0"/>
    <s v="us-gaap/2025"/>
    <n v="20251231"/>
    <n v="0"/>
    <s v="USD"/>
    <s v=""/>
    <s v=""/>
    <n v="6278026000"/>
  </r>
  <r>
    <x v="54"/>
    <x v="3"/>
    <s v="us-gaap/2025"/>
    <n v="20251231"/>
    <n v="4"/>
    <s v="USD"/>
    <s v=""/>
    <s v=""/>
    <n v="3.1"/>
  </r>
  <r>
    <x v="54"/>
    <x v="2"/>
    <s v="us-gaap/2025"/>
    <n v="20251231"/>
    <n v="4"/>
    <s v="USD"/>
    <s v=""/>
    <s v=""/>
    <n v="160271000"/>
  </r>
  <r>
    <x v="54"/>
    <x v="0"/>
    <s v="us-gaap/2025"/>
    <n v="20251231"/>
    <n v="0"/>
    <s v="USD"/>
    <s v=""/>
    <s v=""/>
    <n v="2883160000"/>
  </r>
  <r>
    <x v="155"/>
    <x v="2"/>
    <s v="us-gaap/2025"/>
    <n v="20251231"/>
    <n v="4"/>
    <s v="USD"/>
    <s v=""/>
    <s v=""/>
    <n v="202958000"/>
  </r>
  <r>
    <x v="156"/>
    <x v="2"/>
    <s v="us-gaap/2025"/>
    <n v="20251231"/>
    <n v="4"/>
    <s v="USD"/>
    <s v=""/>
    <s v=""/>
    <n v="92638000"/>
  </r>
  <r>
    <x v="156"/>
    <x v="5"/>
    <s v="us-gaap/2025"/>
    <n v="20251231"/>
    <n v="0"/>
    <s v="USD"/>
    <s v=""/>
    <s v=""/>
    <n v="129563000"/>
  </r>
  <r>
    <x v="147"/>
    <x v="0"/>
    <s v="us-gaap/2025"/>
    <n v="20251231"/>
    <n v="0"/>
    <s v="USD"/>
    <s v=""/>
    <s v=""/>
    <n v="3710302000"/>
  </r>
  <r>
    <x v="53"/>
    <x v="0"/>
    <s v="us-gaap/2025"/>
    <n v="20251231"/>
    <n v="0"/>
    <s v="USD"/>
    <s v=""/>
    <s v=""/>
    <n v="74581427000"/>
  </r>
  <r>
    <x v="56"/>
    <x v="0"/>
    <s v="us-gaap/2025"/>
    <n v="20251231"/>
    <n v="0"/>
    <s v="USD"/>
    <s v=""/>
    <s v=""/>
    <n v="11014171000"/>
  </r>
  <r>
    <x v="61"/>
    <x v="1"/>
    <s v="us-gaap/2025"/>
    <n v="20251231"/>
    <n v="0"/>
    <s v="USD"/>
    <s v=""/>
    <s v=""/>
    <n v="164572121000"/>
  </r>
  <r>
    <x v="61"/>
    <x v="2"/>
    <s v="us-gaap/2025"/>
    <n v="20251231"/>
    <n v="4"/>
    <s v="USD"/>
    <s v=""/>
    <s v=""/>
    <n v="12436658000"/>
  </r>
  <r>
    <x v="167"/>
    <x v="3"/>
    <s v="us-gaap/2025"/>
    <n v="20251231"/>
    <n v="4"/>
    <s v="USD"/>
    <s v=""/>
    <s v=""/>
    <n v="3.57"/>
  </r>
  <r>
    <x v="167"/>
    <x v="4"/>
    <s v="us-gaap/2025"/>
    <n v="20251231"/>
    <n v="4"/>
    <s v="USD"/>
    <s v=""/>
    <s v=""/>
    <n v="19261000"/>
  </r>
  <r>
    <x v="167"/>
    <x v="5"/>
    <s v="us-gaap/2025"/>
    <n v="20251231"/>
    <n v="0"/>
    <s v="USD"/>
    <s v=""/>
    <s v=""/>
    <n v="184161000"/>
  </r>
  <r>
    <x v="136"/>
    <x v="0"/>
    <s v="us-gaap/2025"/>
    <n v="20251231"/>
    <n v="0"/>
    <s v="USD"/>
    <s v=""/>
    <s v=""/>
    <n v="12984768000"/>
  </r>
  <r>
    <x v="137"/>
    <x v="1"/>
    <s v="us-gaap/2025"/>
    <n v="20251231"/>
    <n v="0"/>
    <s v="USD"/>
    <s v=""/>
    <s v=""/>
    <n v="73094090000"/>
  </r>
  <r>
    <x v="67"/>
    <x v="4"/>
    <s v="us-gaap/2025"/>
    <n v="20251231"/>
    <n v="4"/>
    <s v="USD"/>
    <s v=""/>
    <s v=""/>
    <n v="110682000"/>
  </r>
  <r>
    <x v="65"/>
    <x v="0"/>
    <s v="us-gaap/2025"/>
    <n v="20251231"/>
    <n v="0"/>
    <s v="USD"/>
    <s v=""/>
    <s v=""/>
    <n v="5319838000"/>
  </r>
  <r>
    <x v="167"/>
    <x v="0"/>
    <s v="us-gaap/2025"/>
    <n v="20251231"/>
    <n v="0"/>
    <s v="USD"/>
    <s v=""/>
    <s v=""/>
    <n v="1465581000"/>
  </r>
  <r>
    <x v="70"/>
    <x v="4"/>
    <s v="us-gaap/2025"/>
    <n v="20251231"/>
    <n v="4"/>
    <s v="USD"/>
    <s v=""/>
    <s v=""/>
    <n v="23801000"/>
  </r>
  <r>
    <x v="138"/>
    <x v="3"/>
    <s v="us-gaap/2025"/>
    <n v="20251231"/>
    <n v="4"/>
    <s v="USD"/>
    <s v=""/>
    <s v=""/>
    <n v="5.72"/>
  </r>
  <r>
    <x v="138"/>
    <x v="0"/>
    <s v="us-gaap/2025"/>
    <n v="20251231"/>
    <n v="0"/>
    <s v="USD"/>
    <s v=""/>
    <s v=""/>
    <n v="30847285000"/>
  </r>
  <r>
    <x v="74"/>
    <x v="2"/>
    <s v="us-gaap/2025"/>
    <n v="20251231"/>
    <n v="4"/>
    <s v="USD"/>
    <s v=""/>
    <s v=""/>
    <n v="151499000"/>
  </r>
  <r>
    <x v="166"/>
    <x v="1"/>
    <s v="us-gaap/2025"/>
    <n v="20251231"/>
    <n v="0"/>
    <s v="USD"/>
    <s v=""/>
    <s v=""/>
    <n v="1359491000"/>
  </r>
  <r>
    <x v="139"/>
    <x v="3"/>
    <s v="us-gaap/2025"/>
    <n v="20251231"/>
    <n v="4"/>
    <s v="USD"/>
    <s v=""/>
    <s v=""/>
    <n v="5.7"/>
  </r>
  <r>
    <x v="168"/>
    <x v="2"/>
    <s v="us-gaap/2025"/>
    <n v="20251231"/>
    <n v="4"/>
    <s v="USD"/>
    <s v=""/>
    <s v=""/>
    <n v="76653000"/>
  </r>
  <r>
    <x v="168"/>
    <x v="4"/>
    <s v="us-gaap/2025"/>
    <n v="20251231"/>
    <n v="4"/>
    <s v="USD"/>
    <s v=""/>
    <s v=""/>
    <n v="-1933000"/>
  </r>
  <r>
    <x v="82"/>
    <x v="2"/>
    <s v="us-gaap/2025"/>
    <n v="20251231"/>
    <n v="4"/>
    <s v="USD"/>
    <s v=""/>
    <s v=""/>
    <n v="58696000000"/>
  </r>
  <r>
    <x v="140"/>
    <x v="2"/>
    <s v="us-gaap/2025"/>
    <n v="20251231"/>
    <n v="4"/>
    <s v="USD"/>
    <s v=""/>
    <s v=""/>
    <n v="410928000"/>
  </r>
  <r>
    <x v="169"/>
    <x v="1"/>
    <s v="us-gaap/2025"/>
    <n v="20251231"/>
    <n v="0"/>
    <s v="USD"/>
    <s v=""/>
    <s v=""/>
    <n v="2291454981"/>
  </r>
  <r>
    <x v="169"/>
    <x v="5"/>
    <s v="us-gaap/2025"/>
    <n v="20251231"/>
    <n v="0"/>
    <s v="USD"/>
    <s v=""/>
    <s v=""/>
    <n v="285343832"/>
  </r>
  <r>
    <x v="80"/>
    <x v="0"/>
    <s v="us-gaap/2025"/>
    <n v="20251231"/>
    <n v="0"/>
    <s v="USD"/>
    <s v=""/>
    <s v=""/>
    <n v="14408191000"/>
  </r>
  <r>
    <x v="170"/>
    <x v="2"/>
    <s v="us-gaap/2025"/>
    <n v="20251231"/>
    <n v="4"/>
    <s v="USD"/>
    <s v=""/>
    <s v=""/>
    <n v="75313000"/>
  </r>
  <r>
    <x v="167"/>
    <x v="1"/>
    <s v="us-gaap/2025"/>
    <n v="20251231"/>
    <n v="0"/>
    <s v="USD"/>
    <s v=""/>
    <s v=""/>
    <n v="1649742000"/>
  </r>
  <r>
    <x v="171"/>
    <x v="3"/>
    <s v="us-gaap/2025"/>
    <n v="20251231"/>
    <n v="4"/>
    <s v="USD"/>
    <s v=""/>
    <s v=""/>
    <n v="3.75"/>
  </r>
  <r>
    <x v="171"/>
    <x v="0"/>
    <s v="us-gaap/2025"/>
    <n v="20251231"/>
    <n v="0"/>
    <s v="USD"/>
    <s v=""/>
    <s v=""/>
    <n v="4034837000"/>
  </r>
  <r>
    <x v="171"/>
    <x v="5"/>
    <s v="us-gaap/2025"/>
    <n v="20251231"/>
    <n v="0"/>
    <s v="USD"/>
    <s v=""/>
    <s v=""/>
    <n v="368657000"/>
  </r>
  <r>
    <x v="142"/>
    <x v="3"/>
    <s v="us-gaap/2025"/>
    <n v="20251231"/>
    <n v="4"/>
    <s v="USD"/>
    <s v=""/>
    <s v=""/>
    <n v="1.52"/>
  </r>
  <r>
    <x v="77"/>
    <x v="5"/>
    <s v="us-gaap/2025"/>
    <n v="20251231"/>
    <n v="0"/>
    <s v="USD"/>
    <s v=""/>
    <s v=""/>
    <n v="242157000"/>
  </r>
  <r>
    <x v="172"/>
    <x v="4"/>
    <s v="us-gaap/2025"/>
    <n v="20251231"/>
    <n v="4"/>
    <s v="USD"/>
    <s v=""/>
    <s v=""/>
    <n v="13974000"/>
  </r>
  <r>
    <x v="79"/>
    <x v="5"/>
    <s v="us-gaap/2025"/>
    <n v="20251231"/>
    <n v="0"/>
    <s v="USD"/>
    <s v=""/>
    <s v=""/>
    <n v="1390005000"/>
  </r>
  <r>
    <x v="81"/>
    <x v="0"/>
    <s v="us-gaap/2025"/>
    <n v="20251231"/>
    <n v="0"/>
    <s v="USD"/>
    <s v=""/>
    <s v=""/>
    <n v="5668945000"/>
  </r>
  <r>
    <x v="166"/>
    <x v="2"/>
    <s v="us-gaap/2025"/>
    <n v="20251231"/>
    <n v="4"/>
    <s v="USD"/>
    <s v=""/>
    <s v=""/>
    <n v="84326000"/>
  </r>
  <r>
    <x v="145"/>
    <x v="3"/>
    <s v="us-gaap/2024"/>
    <n v="20251231"/>
    <n v="4"/>
    <s v="USD"/>
    <s v=""/>
    <s v=""/>
    <n v="12.31"/>
  </r>
  <r>
    <x v="173"/>
    <x v="0"/>
    <s v="us-gaap/2025"/>
    <n v="20251231"/>
    <n v="0"/>
    <s v="USD"/>
    <s v=""/>
    <s v=""/>
    <n v="958976000"/>
  </r>
  <r>
    <x v="174"/>
    <x v="5"/>
    <s v="us-gaap/2025"/>
    <n v="20251231"/>
    <n v="0"/>
    <s v="USD"/>
    <s v=""/>
    <s v=""/>
    <n v="333968000"/>
  </r>
  <r>
    <x v="169"/>
    <x v="4"/>
    <s v="us-gaap/2025"/>
    <n v="20251231"/>
    <n v="4"/>
    <s v="USD"/>
    <s v=""/>
    <s v=""/>
    <n v="37196198"/>
  </r>
  <r>
    <x v="83"/>
    <x v="3"/>
    <s v="us-gaap/2025"/>
    <n v="20251231"/>
    <n v="4"/>
    <s v="USD"/>
    <s v=""/>
    <s v=""/>
    <n v="-4.55"/>
  </r>
  <r>
    <x v="175"/>
    <x v="3"/>
    <s v="us-gaap/2025"/>
    <n v="20251231"/>
    <n v="4"/>
    <s v="USD"/>
    <s v=""/>
    <s v=""/>
    <n v="2.31"/>
  </r>
  <r>
    <x v="170"/>
    <x v="1"/>
    <s v="us-gaap/2025"/>
    <n v="20251231"/>
    <n v="0"/>
    <s v="USD"/>
    <s v=""/>
    <s v=""/>
    <n v="1824506000"/>
  </r>
  <r>
    <x v="170"/>
    <x v="0"/>
    <s v="us-gaap/2025"/>
    <n v="20251231"/>
    <n v="0"/>
    <s v="USD"/>
    <s v=""/>
    <s v=""/>
    <n v="1639598000"/>
  </r>
  <r>
    <x v="170"/>
    <x v="4"/>
    <s v="us-gaap/2025"/>
    <n v="20251231"/>
    <n v="4"/>
    <s v="USD"/>
    <s v=""/>
    <s v=""/>
    <n v="15826000"/>
  </r>
  <r>
    <x v="167"/>
    <x v="2"/>
    <s v="us-gaap/2025"/>
    <n v="20251231"/>
    <n v="4"/>
    <s v="USD"/>
    <s v=""/>
    <s v=""/>
    <n v="77246000"/>
  </r>
  <r>
    <x v="171"/>
    <x v="4"/>
    <s v="us-gaap/2025"/>
    <n v="20251231"/>
    <n v="4"/>
    <s v="USD"/>
    <s v=""/>
    <s v=""/>
    <n v="30366000"/>
  </r>
  <r>
    <x v="88"/>
    <x v="5"/>
    <s v="us-gaap/2025"/>
    <n v="20251231"/>
    <n v="0"/>
    <s v="USD"/>
    <s v=""/>
    <s v=""/>
    <n v="8899202000"/>
  </r>
  <r>
    <x v="86"/>
    <x v="2"/>
    <s v="us-gaap/2025"/>
    <n v="20251231"/>
    <n v="4"/>
    <s v="USD"/>
    <s v=""/>
    <s v=""/>
    <n v="149886000"/>
  </r>
  <r>
    <x v="166"/>
    <x v="3"/>
    <s v="us-gaap/2025"/>
    <n v="20251231"/>
    <n v="4"/>
    <s v="USD"/>
    <s v=""/>
    <s v=""/>
    <n v="1.46"/>
  </r>
  <r>
    <x v="166"/>
    <x v="0"/>
    <s v="us-gaap/2025"/>
    <n v="20251231"/>
    <n v="0"/>
    <s v="USD"/>
    <s v=""/>
    <s v=""/>
    <n v="1193736000"/>
  </r>
  <r>
    <x v="172"/>
    <x v="6"/>
    <s v="us-gaap/2025"/>
    <n v="20251231"/>
    <n v="4"/>
    <s v="USD"/>
    <s v=""/>
    <s v=""/>
    <n v="73920000"/>
  </r>
  <r>
    <x v="168"/>
    <x v="0"/>
    <s v="us-gaap/2025"/>
    <n v="20251231"/>
    <n v="0"/>
    <s v="USD"/>
    <s v=""/>
    <s v=""/>
    <n v="1304185000"/>
  </r>
  <r>
    <x v="168"/>
    <x v="5"/>
    <s v="us-gaap/2025"/>
    <n v="20251231"/>
    <n v="0"/>
    <s v="USD"/>
    <s v=""/>
    <s v=""/>
    <n v="122451000"/>
  </r>
  <r>
    <x v="148"/>
    <x v="3"/>
    <s v="us-gaap/2025"/>
    <n v="20251231"/>
    <n v="4"/>
    <s v="USD"/>
    <s v=""/>
    <s v=""/>
    <n v="1.49"/>
  </r>
  <r>
    <x v="173"/>
    <x v="1"/>
    <s v="us-gaap/2025"/>
    <n v="20251231"/>
    <n v="0"/>
    <s v="USD"/>
    <s v=""/>
    <s v=""/>
    <n v="1039024000"/>
  </r>
  <r>
    <x v="173"/>
    <x v="4"/>
    <s v="us-gaap/2025"/>
    <n v="20251231"/>
    <n v="4"/>
    <s v="USD"/>
    <s v=""/>
    <s v=""/>
    <n v="9022000"/>
  </r>
  <r>
    <x v="176"/>
    <x v="0"/>
    <s v="us-gaap/2025"/>
    <n v="20251231"/>
    <n v="0"/>
    <s v="USD"/>
    <s v=""/>
    <s v=""/>
    <n v="18585008000"/>
  </r>
  <r>
    <x v="174"/>
    <x v="2"/>
    <s v="us-gaap/2025"/>
    <n v="20251231"/>
    <n v="4"/>
    <s v="USD"/>
    <s v=""/>
    <s v=""/>
    <n v="175323000"/>
  </r>
  <r>
    <x v="169"/>
    <x v="3"/>
    <s v="us-gaap/2025"/>
    <n v="20251231"/>
    <n v="4"/>
    <s v="USD"/>
    <s v=""/>
    <s v=""/>
    <n v="2.95"/>
  </r>
  <r>
    <x v="169"/>
    <x v="0"/>
    <s v="us-gaap/2025"/>
    <n v="20251231"/>
    <n v="0"/>
    <s v="USD"/>
    <s v=""/>
    <s v=""/>
    <n v="2006111149"/>
  </r>
  <r>
    <x v="177"/>
    <x v="1"/>
    <s v="us-gaap/2025"/>
    <n v="20251231"/>
    <n v="0"/>
    <s v="USD"/>
    <s v=""/>
    <s v=""/>
    <n v="7022825000"/>
  </r>
  <r>
    <x v="177"/>
    <x v="4"/>
    <s v="us-gaap/2025"/>
    <n v="20251231"/>
    <n v="4"/>
    <s v="USD"/>
    <s v=""/>
    <s v=""/>
    <n v="83409000"/>
  </r>
  <r>
    <x v="172"/>
    <x v="5"/>
    <s v="us-gaap/2025"/>
    <n v="20251231"/>
    <n v="0"/>
    <s v="USD"/>
    <s v=""/>
    <s v=""/>
    <n v="141236000"/>
  </r>
  <r>
    <x v="89"/>
    <x v="0"/>
    <s v="us-gaap/2025"/>
    <n v="20251231"/>
    <n v="0"/>
    <s v="USD"/>
    <s v=""/>
    <s v=""/>
    <n v="13647388000"/>
  </r>
  <r>
    <x v="149"/>
    <x v="1"/>
    <s v="us-gaap/2025"/>
    <n v="20251231"/>
    <n v="0"/>
    <s v="USD"/>
    <s v=""/>
    <s v=""/>
    <n v="6373172000"/>
  </r>
  <r>
    <x v="163"/>
    <x v="1"/>
    <s v="us-gaap/2025"/>
    <n v="20251231"/>
    <n v="0"/>
    <s v="USD"/>
    <s v=""/>
    <s v=""/>
    <n v="4336453000"/>
  </r>
  <r>
    <x v="163"/>
    <x v="3"/>
    <s v="us-gaap/2025"/>
    <n v="20251231"/>
    <n v="4"/>
    <s v="USD"/>
    <s v=""/>
    <s v=""/>
    <n v="2.64"/>
  </r>
  <r>
    <x v="163"/>
    <x v="0"/>
    <s v="us-gaap/2025"/>
    <n v="20251231"/>
    <n v="0"/>
    <s v="USD"/>
    <s v=""/>
    <s v=""/>
    <n v="3792979000"/>
  </r>
  <r>
    <x v="163"/>
    <x v="4"/>
    <s v="us-gaap/2025"/>
    <n v="20251231"/>
    <n v="4"/>
    <s v="USD"/>
    <s v=""/>
    <s v=""/>
    <n v="46212000"/>
  </r>
  <r>
    <x v="90"/>
    <x v="2"/>
    <s v="us-gaap/2025"/>
    <n v="20251231"/>
    <n v="4"/>
    <s v="USD"/>
    <s v=""/>
    <s v=""/>
    <n v="3379498000"/>
  </r>
  <r>
    <x v="93"/>
    <x v="4"/>
    <s v="us-gaap/2025"/>
    <n v="20251231"/>
    <n v="4"/>
    <s v="USD"/>
    <s v=""/>
    <s v=""/>
    <n v="71098000"/>
  </r>
  <r>
    <x v="162"/>
    <x v="1"/>
    <s v="us-gaap/2025"/>
    <n v="20251231"/>
    <n v="0"/>
    <s v="USD"/>
    <s v=""/>
    <s v=""/>
    <n v="8078448000"/>
  </r>
  <r>
    <x v="162"/>
    <x v="5"/>
    <s v="us-gaap/2025"/>
    <n v="20251231"/>
    <n v="0"/>
    <s v="USD"/>
    <s v=""/>
    <s v=""/>
    <n v="746701000"/>
  </r>
  <r>
    <x v="150"/>
    <x v="3"/>
    <s v="us-gaap/2025"/>
    <n v="20251231"/>
    <n v="4"/>
    <s v="USD"/>
    <s v=""/>
    <s v=""/>
    <n v="3.65"/>
  </r>
  <r>
    <x v="150"/>
    <x v="2"/>
    <s v="us-gaap/2025"/>
    <n v="20251231"/>
    <n v="4"/>
    <s v="USD"/>
    <s v=""/>
    <s v=""/>
    <n v="332989000"/>
  </r>
  <r>
    <x v="94"/>
    <x v="0"/>
    <s v="us-gaap/2025"/>
    <n v="20251231"/>
    <n v="0"/>
    <s v="USD"/>
    <s v=""/>
    <s v=""/>
    <n v="8498404000"/>
  </r>
  <r>
    <x v="151"/>
    <x v="1"/>
    <s v="us-gaap/2025"/>
    <n v="20251231"/>
    <n v="0"/>
    <s v="USD"/>
    <s v=""/>
    <s v=""/>
    <n v="3787385000"/>
  </r>
  <r>
    <x v="151"/>
    <x v="4"/>
    <s v="us-gaap/2025"/>
    <n v="20251231"/>
    <n v="4"/>
    <s v="USD"/>
    <s v=""/>
    <s v=""/>
    <n v="42105000"/>
  </r>
  <r>
    <x v="178"/>
    <x v="5"/>
    <s v="us-gaap/2025"/>
    <n v="20251231"/>
    <n v="0"/>
    <s v="USD"/>
    <s v=""/>
    <s v=""/>
    <n v="689796000"/>
  </r>
  <r>
    <x v="91"/>
    <x v="5"/>
    <s v="us-gaap/2025"/>
    <n v="20251231"/>
    <n v="0"/>
    <s v="USD"/>
    <s v=""/>
    <s v=""/>
    <n v="517095000"/>
  </r>
  <r>
    <x v="179"/>
    <x v="1"/>
    <s v="us-gaap/2025"/>
    <n v="20251231"/>
    <n v="0"/>
    <s v="USD"/>
    <s v=""/>
    <s v=""/>
    <n v="3904778000"/>
  </r>
  <r>
    <x v="179"/>
    <x v="3"/>
    <s v="us-gaap/2025"/>
    <n v="20251231"/>
    <n v="4"/>
    <s v="USD"/>
    <s v=""/>
    <s v=""/>
    <n v="-2.2400000000000002"/>
  </r>
  <r>
    <x v="179"/>
    <x v="6"/>
    <s v="us-gaap/2025"/>
    <n v="20251231"/>
    <n v="4"/>
    <s v="USD"/>
    <s v=""/>
    <s v=""/>
    <n v="38467000"/>
  </r>
  <r>
    <x v="125"/>
    <x v="1"/>
    <s v="us-gaap/2025"/>
    <n v="20251231"/>
    <n v="0"/>
    <s v="USD"/>
    <s v=""/>
    <s v=""/>
    <n v="16576335000"/>
  </r>
  <r>
    <x v="125"/>
    <x v="3"/>
    <s v="us-gaap/2025"/>
    <n v="20251231"/>
    <n v="4"/>
    <s v="USD"/>
    <s v=""/>
    <s v=""/>
    <n v="6.63"/>
  </r>
  <r>
    <x v="125"/>
    <x v="0"/>
    <s v="us-gaap/2025"/>
    <n v="20251231"/>
    <n v="0"/>
    <s v="USD"/>
    <s v=""/>
    <s v=""/>
    <n v="13324697000"/>
  </r>
  <r>
    <x v="125"/>
    <x v="5"/>
    <s v="us-gaap/2025"/>
    <n v="20251231"/>
    <n v="0"/>
    <s v="USD"/>
    <s v=""/>
    <s v=""/>
    <n v="3251638000"/>
  </r>
  <r>
    <x v="180"/>
    <x v="2"/>
    <s v="us-gaap/2025"/>
    <n v="20251231"/>
    <n v="4"/>
    <s v="USD"/>
    <s v=""/>
    <s v=""/>
    <n v="260871000"/>
  </r>
  <r>
    <x v="96"/>
    <x v="0"/>
    <s v="us-gaap/2025"/>
    <n v="20251231"/>
    <n v="0"/>
    <s v="USD"/>
    <s v=""/>
    <s v=""/>
    <n v="8463159000"/>
  </r>
  <r>
    <x v="99"/>
    <x v="1"/>
    <s v="us-gaap/2025"/>
    <n v="20251231"/>
    <n v="0"/>
    <s v="USD"/>
    <s v=""/>
    <s v=""/>
    <n v="19448943000"/>
  </r>
  <r>
    <x v="99"/>
    <x v="3"/>
    <s v="us-gaap/2025"/>
    <n v="20251231"/>
    <n v="4"/>
    <s v="USD"/>
    <s v=""/>
    <s v=""/>
    <n v="3.78"/>
  </r>
  <r>
    <x v="99"/>
    <x v="0"/>
    <s v="us-gaap/2025"/>
    <n v="20251231"/>
    <n v="0"/>
    <s v="USD"/>
    <s v=""/>
    <s v=""/>
    <n v="17168184000"/>
  </r>
  <r>
    <x v="98"/>
    <x v="4"/>
    <s v="us-gaap/2025"/>
    <n v="20251231"/>
    <n v="4"/>
    <s v="USD"/>
    <s v=""/>
    <s v=""/>
    <n v="71496000"/>
  </r>
  <r>
    <x v="153"/>
    <x v="4"/>
    <s v="us-gaap/2025"/>
    <n v="20251231"/>
    <n v="4"/>
    <s v="USD"/>
    <s v=""/>
    <s v=""/>
    <n v="5992000"/>
  </r>
  <r>
    <x v="173"/>
    <x v="2"/>
    <s v="us-gaap/2025"/>
    <n v="20251231"/>
    <n v="4"/>
    <s v="USD"/>
    <s v=""/>
    <s v=""/>
    <n v="46655000"/>
  </r>
  <r>
    <x v="100"/>
    <x v="1"/>
    <s v="us-gaap/2025"/>
    <n v="20251231"/>
    <n v="0"/>
    <s v="USD"/>
    <s v=""/>
    <s v=""/>
    <n v="17303296000"/>
  </r>
  <r>
    <x v="176"/>
    <x v="2"/>
    <s v="us-gaap/2025"/>
    <n v="20251231"/>
    <n v="4"/>
    <s v="USD"/>
    <s v=""/>
    <s v=""/>
    <n v="1278820000"/>
  </r>
  <r>
    <x v="175"/>
    <x v="1"/>
    <s v="us-gaap/2025"/>
    <n v="20251231"/>
    <n v="0"/>
    <s v="USD"/>
    <s v=""/>
    <s v=""/>
    <n v="158814000000"/>
  </r>
  <r>
    <x v="175"/>
    <x v="2"/>
    <s v="us-gaap/2025"/>
    <n v="20251231"/>
    <n v="4"/>
    <s v="USD"/>
    <s v=""/>
    <s v=""/>
    <n v="7073000000"/>
  </r>
  <r>
    <x v="175"/>
    <x v="0"/>
    <s v="us-gaap/2025"/>
    <n v="20251231"/>
    <n v="0"/>
    <s v="USD"/>
    <s v=""/>
    <s v=""/>
    <n v="139711000000"/>
  </r>
  <r>
    <x v="175"/>
    <x v="5"/>
    <s v="us-gaap/2025"/>
    <n v="20251231"/>
    <n v="0"/>
    <s v="USD"/>
    <s v=""/>
    <s v=""/>
    <n v="19043000000"/>
  </r>
  <r>
    <x v="115"/>
    <x v="5"/>
    <s v="us-gaap/2025"/>
    <n v="20251231"/>
    <n v="0"/>
    <s v="USD"/>
    <s v=""/>
    <s v=""/>
    <n v="1102293000"/>
  </r>
  <r>
    <x v="103"/>
    <x v="1"/>
    <s v="us-gaap/2025"/>
    <n v="20251231"/>
    <n v="0"/>
    <s v="USD"/>
    <s v=""/>
    <s v=""/>
    <n v="3132469000"/>
  </r>
  <r>
    <x v="103"/>
    <x v="4"/>
    <s v="us-gaap/2025"/>
    <n v="20251231"/>
    <n v="4"/>
    <s v="USD"/>
    <s v=""/>
    <s v=""/>
    <n v="23427000"/>
  </r>
  <r>
    <x v="102"/>
    <x v="0"/>
    <s v="us-gaap/2025"/>
    <n v="20251231"/>
    <n v="0"/>
    <s v="USD"/>
    <s v=""/>
    <s v=""/>
    <n v="4962480000"/>
  </r>
  <r>
    <x v="102"/>
    <x v="4"/>
    <s v="us-gaap/2025"/>
    <n v="20251231"/>
    <n v="4"/>
    <s v="USD"/>
    <s v=""/>
    <s v=""/>
    <n v="70973000"/>
  </r>
  <r>
    <x v="160"/>
    <x v="2"/>
    <s v="us-gaap/2025"/>
    <n v="20251231"/>
    <n v="4"/>
    <s v="USD"/>
    <s v=""/>
    <s v=""/>
    <n v="164589000"/>
  </r>
  <r>
    <x v="161"/>
    <x v="2"/>
    <s v="us-gaap/2025"/>
    <n v="20251231"/>
    <n v="4"/>
    <s v="USD"/>
    <s v=""/>
    <s v=""/>
    <n v="137773000"/>
  </r>
  <r>
    <x v="181"/>
    <x v="3"/>
    <s v="us-gaap/2025"/>
    <n v="20251231"/>
    <n v="4"/>
    <s v="USD"/>
    <s v=""/>
    <s v=""/>
    <n v="7.47"/>
  </r>
  <r>
    <x v="181"/>
    <x v="5"/>
    <s v="us-gaap/2025"/>
    <n v="20251231"/>
    <n v="0"/>
    <s v="USD"/>
    <s v=""/>
    <s v=""/>
    <n v="44313000000"/>
  </r>
  <r>
    <x v="182"/>
    <x v="3"/>
    <s v="us-gaap/2025"/>
    <n v="20251231"/>
    <n v="4"/>
    <s v="USD"/>
    <s v=""/>
    <s v=""/>
    <n v="4.7699999999999996"/>
  </r>
  <r>
    <x v="155"/>
    <x v="4"/>
    <s v="us-gaap/2025"/>
    <n v="20251231"/>
    <n v="4"/>
    <s v="USD"/>
    <s v=""/>
    <s v=""/>
    <n v="28176000"/>
  </r>
  <r>
    <x v="183"/>
    <x v="1"/>
    <s v="us-gaap/2025"/>
    <n v="20251231"/>
    <n v="0"/>
    <s v="USD"/>
    <s v=""/>
    <s v=""/>
    <n v="6835219000"/>
  </r>
  <r>
    <x v="183"/>
    <x v="0"/>
    <s v="us-gaap/2025"/>
    <n v="20251231"/>
    <n v="0"/>
    <s v="USD"/>
    <s v=""/>
    <s v=""/>
    <n v="6110335000"/>
  </r>
  <r>
    <x v="165"/>
    <x v="2"/>
    <s v="us-gaap/2025"/>
    <n v="20251231"/>
    <n v="4"/>
    <s v="USD"/>
    <s v=""/>
    <s v=""/>
    <n v="130552000"/>
  </r>
  <r>
    <x v="165"/>
    <x v="0"/>
    <s v="us-gaap/2025"/>
    <n v="20251231"/>
    <n v="0"/>
    <s v="USD"/>
    <s v=""/>
    <s v=""/>
    <n v="2014435000"/>
  </r>
  <r>
    <x v="104"/>
    <x v="2"/>
    <s v="us-gaap/2025"/>
    <n v="20251231"/>
    <n v="4"/>
    <s v="USD"/>
    <s v=""/>
    <s v=""/>
    <n v="209519000"/>
  </r>
  <r>
    <x v="104"/>
    <x v="5"/>
    <s v="us-gaap/2025"/>
    <n v="20251231"/>
    <n v="0"/>
    <s v="USD"/>
    <s v=""/>
    <s v=""/>
    <n v="532541000"/>
  </r>
  <r>
    <x v="119"/>
    <x v="1"/>
    <s v="us-gaap/2025"/>
    <n v="20251231"/>
    <n v="0"/>
    <s v="USD"/>
    <s v=""/>
    <s v=""/>
    <n v="2332550000"/>
  </r>
  <r>
    <x v="179"/>
    <x v="0"/>
    <s v="us-gaap/2025"/>
    <n v="20251231"/>
    <n v="0"/>
    <s v="USD"/>
    <s v=""/>
    <s v=""/>
    <n v="3510124000"/>
  </r>
  <r>
    <x v="173"/>
    <x v="5"/>
    <s v="us-gaap/2025"/>
    <n v="20251231"/>
    <n v="0"/>
    <s v="USD"/>
    <s v=""/>
    <s v=""/>
    <n v="80048000"/>
  </r>
  <r>
    <x v="174"/>
    <x v="3"/>
    <s v="us-gaap/2025"/>
    <n v="20251231"/>
    <n v="4"/>
    <s v="USD"/>
    <s v=""/>
    <s v=""/>
    <n v="2.11"/>
  </r>
  <r>
    <x v="174"/>
    <x v="0"/>
    <s v="us-gaap/2025"/>
    <n v="20251231"/>
    <n v="0"/>
    <s v="USD"/>
    <s v=""/>
    <s v=""/>
    <n v="2974950000"/>
  </r>
  <r>
    <x v="106"/>
    <x v="5"/>
    <s v="us-gaap/2025"/>
    <n v="20251231"/>
    <n v="0"/>
    <s v="USD"/>
    <s v=""/>
    <s v=""/>
    <n v="200266000"/>
  </r>
  <r>
    <x v="178"/>
    <x v="2"/>
    <s v="us-gaap/2025"/>
    <n v="20251231"/>
    <n v="4"/>
    <s v="USD"/>
    <s v=""/>
    <s v=""/>
    <n v="551369000"/>
  </r>
  <r>
    <x v="178"/>
    <x v="4"/>
    <s v="us-gaap/2025"/>
    <n v="20251231"/>
    <n v="4"/>
    <s v="USD"/>
    <s v=""/>
    <s v=""/>
    <n v="228213000"/>
  </r>
  <r>
    <x v="108"/>
    <x v="2"/>
    <s v="us-gaap/2025"/>
    <n v="20251231"/>
    <n v="4"/>
    <s v="USD"/>
    <s v=""/>
    <s v=""/>
    <n v="540989000"/>
  </r>
  <r>
    <x v="108"/>
    <x v="4"/>
    <s v="us-gaap/2025"/>
    <n v="20251231"/>
    <n v="4"/>
    <s v="USD"/>
    <s v=""/>
    <s v=""/>
    <n v="-155157000"/>
  </r>
  <r>
    <x v="184"/>
    <x v="4"/>
    <s v="us-gaap/2025"/>
    <n v="20251231"/>
    <n v="4"/>
    <s v="USD"/>
    <s v=""/>
    <s v=""/>
    <n v="17439000"/>
  </r>
  <r>
    <x v="185"/>
    <x v="1"/>
    <s v="us-gaap/2025"/>
    <n v="20251231"/>
    <n v="0"/>
    <s v="USD"/>
    <s v=""/>
    <s v=""/>
    <n v="2106367000"/>
  </r>
  <r>
    <x v="185"/>
    <x v="0"/>
    <s v="us-gaap/2025"/>
    <n v="20251231"/>
    <n v="0"/>
    <s v="USD"/>
    <s v=""/>
    <s v=""/>
    <n v="1914553000"/>
  </r>
  <r>
    <x v="185"/>
    <x v="4"/>
    <s v="us-gaap/2025"/>
    <n v="20251231"/>
    <n v="4"/>
    <s v="USD"/>
    <s v=""/>
    <s v=""/>
    <n v="14835000"/>
  </r>
  <r>
    <x v="186"/>
    <x v="1"/>
    <s v="us-gaap/2025"/>
    <n v="20251231"/>
    <n v="0"/>
    <s v="USD"/>
    <s v=""/>
    <s v=""/>
    <n v="2240769000"/>
  </r>
  <r>
    <x v="133"/>
    <x v="5"/>
    <s v="us-gaap/2025"/>
    <n v="20251231"/>
    <n v="0"/>
    <s v="USD"/>
    <s v=""/>
    <s v=""/>
    <n v="70515000"/>
  </r>
  <r>
    <x v="187"/>
    <x v="0"/>
    <s v="us-gaap/2025"/>
    <n v="20251231"/>
    <n v="0"/>
    <s v="USD"/>
    <s v=""/>
    <s v=""/>
    <n v="2531975000"/>
  </r>
  <r>
    <x v="111"/>
    <x v="1"/>
    <s v="us-gaap/2025"/>
    <n v="20251231"/>
    <n v="0"/>
    <s v="USD"/>
    <s v=""/>
    <s v=""/>
    <n v="895263000"/>
  </r>
  <r>
    <x v="188"/>
    <x v="5"/>
    <s v="us-gaap/2025"/>
    <n v="20251231"/>
    <n v="0"/>
    <s v="USD"/>
    <s v=""/>
    <s v=""/>
    <n v="107664000"/>
  </r>
  <r>
    <x v="189"/>
    <x v="3"/>
    <s v="us-gaap/2025"/>
    <n v="20251231"/>
    <n v="4"/>
    <s v="USD"/>
    <s v=""/>
    <s v=""/>
    <n v="3.8"/>
  </r>
  <r>
    <x v="190"/>
    <x v="5"/>
    <s v="us-gaap/2025"/>
    <n v="20251231"/>
    <n v="0"/>
    <s v="USD"/>
    <s v=""/>
    <s v=""/>
    <n v="207975000"/>
  </r>
  <r>
    <x v="191"/>
    <x v="3"/>
    <s v="us-gaap/2025"/>
    <n v="20251231"/>
    <n v="4"/>
    <s v="USD"/>
    <s v=""/>
    <s v=""/>
    <n v="9.15"/>
  </r>
  <r>
    <x v="191"/>
    <x v="0"/>
    <s v="us-gaap/2025"/>
    <n v="20251231"/>
    <n v="0"/>
    <s v="USD"/>
    <s v=""/>
    <s v=""/>
    <n v="1143058000"/>
  </r>
  <r>
    <x v="114"/>
    <x v="1"/>
    <s v="us-gaap/2025"/>
    <n v="20251231"/>
    <n v="0"/>
    <s v="USD"/>
    <s v=""/>
    <s v=""/>
    <n v="312114000"/>
  </r>
  <r>
    <x v="192"/>
    <x v="0"/>
    <s v="us-gaap/2025"/>
    <n v="20251231"/>
    <n v="0"/>
    <s v="USD"/>
    <s v=""/>
    <s v=""/>
    <n v="12429360000"/>
  </r>
  <r>
    <x v="183"/>
    <x v="3"/>
    <s v="us-gaap/2025"/>
    <n v="20251231"/>
    <n v="4"/>
    <s v="USD"/>
    <s v=""/>
    <s v=""/>
    <n v="5.47"/>
  </r>
  <r>
    <x v="193"/>
    <x v="4"/>
    <s v="us-gaap/2025"/>
    <n v="20251231"/>
    <n v="4"/>
    <s v="USD"/>
    <s v=""/>
    <s v=""/>
    <n v="105871000"/>
  </r>
  <r>
    <x v="174"/>
    <x v="1"/>
    <s v="us-gaap/2025"/>
    <n v="20251231"/>
    <n v="0"/>
    <s v="USD"/>
    <s v=""/>
    <s v=""/>
    <n v="3308918000"/>
  </r>
  <r>
    <x v="194"/>
    <x v="1"/>
    <s v="us-gaap/2025"/>
    <n v="20251231"/>
    <n v="0"/>
    <s v="USD"/>
    <s v=""/>
    <s v=""/>
    <n v="5245870000"/>
  </r>
  <r>
    <x v="194"/>
    <x v="5"/>
    <s v="us-gaap/2025"/>
    <n v="20251231"/>
    <n v="0"/>
    <s v="USD"/>
    <s v=""/>
    <s v=""/>
    <n v="485725000"/>
  </r>
  <r>
    <x v="117"/>
    <x v="3"/>
    <s v="us-gaap/2024"/>
    <n v="20251231"/>
    <n v="4"/>
    <s v="USD"/>
    <s v=""/>
    <s v=""/>
    <n v="0.49"/>
  </r>
  <r>
    <x v="117"/>
    <x v="2"/>
    <s v="us-gaap/2024"/>
    <n v="20251231"/>
    <n v="4"/>
    <s v="USD"/>
    <s v=""/>
    <s v=""/>
    <n v="941164000"/>
  </r>
  <r>
    <x v="195"/>
    <x v="0"/>
    <s v="us-gaap/2025"/>
    <n v="20251231"/>
    <n v="0"/>
    <s v="USD"/>
    <s v=""/>
    <s v=""/>
    <n v="1924918000"/>
  </r>
  <r>
    <x v="186"/>
    <x v="4"/>
    <s v="us-gaap/2025"/>
    <n v="20251231"/>
    <n v="4"/>
    <s v="USD"/>
    <s v=""/>
    <s v=""/>
    <n v="23120000"/>
  </r>
  <r>
    <x v="196"/>
    <x v="1"/>
    <s v="us-gaap/2025"/>
    <n v="20251231"/>
    <n v="0"/>
    <s v="USD"/>
    <s v=""/>
    <s v=""/>
    <n v="2133540000"/>
  </r>
  <r>
    <x v="196"/>
    <x v="2"/>
    <s v="us-gaap/2025"/>
    <n v="20251231"/>
    <n v="4"/>
    <s v="USD"/>
    <s v=""/>
    <s v=""/>
    <n v="87093000"/>
  </r>
  <r>
    <x v="197"/>
    <x v="1"/>
    <s v="us-gaap/2025"/>
    <n v="20251231"/>
    <n v="0"/>
    <s v="USD"/>
    <s v=""/>
    <s v=""/>
    <n v="2748058000"/>
  </r>
  <r>
    <x v="118"/>
    <x v="1"/>
    <s v="us-gaap/2025"/>
    <n v="20251231"/>
    <n v="0"/>
    <s v="USD"/>
    <s v=""/>
    <s v=""/>
    <n v="6684138000"/>
  </r>
  <r>
    <x v="179"/>
    <x v="2"/>
    <s v="us-gaap/2025"/>
    <n v="20251231"/>
    <n v="4"/>
    <s v="USD"/>
    <s v=""/>
    <s v=""/>
    <n v="152428000"/>
  </r>
  <r>
    <x v="131"/>
    <x v="4"/>
    <s v="us-gaap/2025"/>
    <n v="20251231"/>
    <n v="4"/>
    <s v="USD"/>
    <s v=""/>
    <s v=""/>
    <n v="169235000"/>
  </r>
  <r>
    <x v="158"/>
    <x v="1"/>
    <s v="us-gaap/2025"/>
    <n v="20251231"/>
    <n v="0"/>
    <s v="USD"/>
    <s v=""/>
    <s v=""/>
    <n v="4480500000"/>
  </r>
  <r>
    <x v="198"/>
    <x v="3"/>
    <s v="us-gaap/2025"/>
    <n v="20251231"/>
    <n v="4"/>
    <s v="USD"/>
    <s v=""/>
    <s v=""/>
    <n v="-2.25"/>
  </r>
  <r>
    <x v="158"/>
    <x v="2"/>
    <s v="us-gaap/2025"/>
    <n v="20251231"/>
    <n v="4"/>
    <s v="USD"/>
    <s v=""/>
    <s v=""/>
    <n v="251998000"/>
  </r>
  <r>
    <x v="158"/>
    <x v="0"/>
    <s v="us-gaap/2025"/>
    <n v="20251231"/>
    <n v="0"/>
    <s v="USD"/>
    <s v=""/>
    <s v=""/>
    <n v="3986663000"/>
  </r>
  <r>
    <x v="120"/>
    <x v="2"/>
    <s v="us-gaap/2025"/>
    <n v="20251231"/>
    <n v="4"/>
    <s v="USD"/>
    <s v=""/>
    <s v=""/>
    <n v="159168000"/>
  </r>
  <r>
    <x v="120"/>
    <x v="5"/>
    <s v="us-gaap/2025"/>
    <n v="20251231"/>
    <n v="0"/>
    <s v="USD"/>
    <s v=""/>
    <s v=""/>
    <n v="338051000"/>
  </r>
  <r>
    <x v="121"/>
    <x v="1"/>
    <s v="us-gaap/2025"/>
    <n v="20251231"/>
    <n v="0"/>
    <s v="USD"/>
    <s v=""/>
    <s v=""/>
    <n v="1582654000"/>
  </r>
  <r>
    <x v="189"/>
    <x v="0"/>
    <s v="us-gaap/2025"/>
    <n v="20251231"/>
    <n v="0"/>
    <s v="USD"/>
    <s v=""/>
    <s v=""/>
    <n v="1417629000"/>
  </r>
  <r>
    <x v="121"/>
    <x v="5"/>
    <s v="us-gaap/2025"/>
    <n v="20251231"/>
    <n v="0"/>
    <s v="USD"/>
    <s v=""/>
    <s v=""/>
    <n v="170257000"/>
  </r>
  <r>
    <x v="122"/>
    <x v="0"/>
    <s v="us-gaap/2025"/>
    <n v="20251231"/>
    <n v="0"/>
    <s v="USD"/>
    <s v=""/>
    <s v=""/>
    <n v="5044596000"/>
  </r>
  <r>
    <x v="124"/>
    <x v="5"/>
    <s v="us-gaap/2025"/>
    <n v="20251231"/>
    <n v="0"/>
    <s v="USD"/>
    <s v=""/>
    <s v=""/>
    <n v="250995000"/>
  </r>
  <r>
    <x v="199"/>
    <x v="2"/>
    <s v="us-gaap/2025"/>
    <n v="20251231"/>
    <n v="4"/>
    <s v="USD"/>
    <s v=""/>
    <s v=""/>
    <n v="99497000"/>
  </r>
  <r>
    <x v="181"/>
    <x v="1"/>
    <s v="us-gaap/2025"/>
    <n v="20251231"/>
    <n v="0"/>
    <s v="USD"/>
    <s v=""/>
    <s v=""/>
    <n v="472300000000"/>
  </r>
  <r>
    <x v="181"/>
    <x v="2"/>
    <s v="us-gaap/2025"/>
    <n v="20251231"/>
    <n v="4"/>
    <s v="USD"/>
    <s v=""/>
    <s v=""/>
    <n v="25626000000"/>
  </r>
  <r>
    <x v="180"/>
    <x v="4"/>
    <s v="us-gaap/2025"/>
    <n v="20251231"/>
    <n v="4"/>
    <s v="USD"/>
    <s v=""/>
    <s v=""/>
    <n v="57170000"/>
  </r>
  <r>
    <x v="178"/>
    <x v="0"/>
    <s v="us-gaap/2025"/>
    <n v="20251231"/>
    <n v="0"/>
    <s v="USD"/>
    <s v=""/>
    <s v=""/>
    <n v="8662629000"/>
  </r>
  <r>
    <x v="179"/>
    <x v="5"/>
    <s v="us-gaap/2025"/>
    <n v="20251231"/>
    <n v="0"/>
    <s v="USD"/>
    <s v=""/>
    <s v=""/>
    <n v="394654000"/>
  </r>
  <r>
    <x v="200"/>
    <x v="0"/>
    <s v="us-gaap/2025"/>
    <n v="20251231"/>
    <n v="0"/>
    <s v="USD"/>
    <s v=""/>
    <s v=""/>
    <n v="4250478000"/>
  </r>
  <r>
    <x v="200"/>
    <x v="4"/>
    <s v="us-gaap/2025"/>
    <n v="20251231"/>
    <n v="4"/>
    <s v="USD"/>
    <s v=""/>
    <s v=""/>
    <n v="46993000"/>
  </r>
  <r>
    <x v="201"/>
    <x v="3"/>
    <s v="us-gaap/2025"/>
    <n v="20251231"/>
    <n v="4"/>
    <s v="USD"/>
    <s v=""/>
    <s v=""/>
    <n v="6.46"/>
  </r>
  <r>
    <x v="127"/>
    <x v="2"/>
    <s v="us-gaap/2025"/>
    <n v="20251231"/>
    <n v="4"/>
    <s v="USD"/>
    <s v=""/>
    <s v=""/>
    <n v="990427000"/>
  </r>
  <r>
    <x v="132"/>
    <x v="4"/>
    <s v="us-gaap/2025"/>
    <n v="20251231"/>
    <n v="4"/>
    <s v="USD"/>
    <s v=""/>
    <s v=""/>
    <n v="116173000"/>
  </r>
  <r>
    <x v="132"/>
    <x v="5"/>
    <s v="us-gaap/2025"/>
    <n v="20251231"/>
    <n v="0"/>
    <s v="USD"/>
    <s v=""/>
    <s v=""/>
    <n v="933509000"/>
  </r>
  <r>
    <x v="176"/>
    <x v="4"/>
    <s v="us-gaap/2025"/>
    <n v="20251231"/>
    <n v="4"/>
    <s v="USD"/>
    <s v=""/>
    <s v=""/>
    <n v="475441000"/>
  </r>
  <r>
    <x v="202"/>
    <x v="2"/>
    <s v="us-gaap/2025"/>
    <n v="20251231"/>
    <n v="4"/>
    <s v="USD"/>
    <s v=""/>
    <s v=""/>
    <n v="197536000"/>
  </r>
  <r>
    <x v="129"/>
    <x v="0"/>
    <s v="us-gaap/2025"/>
    <n v="20251231"/>
    <n v="0"/>
    <s v="USD"/>
    <s v=""/>
    <s v=""/>
    <n v="1480658000"/>
  </r>
  <r>
    <x v="130"/>
    <x v="1"/>
    <s v="us-gaap/2025"/>
    <n v="20251231"/>
    <n v="0"/>
    <s v="USD"/>
    <s v=""/>
    <s v=""/>
    <n v="2257727000"/>
  </r>
  <r>
    <x v="177"/>
    <x v="0"/>
    <s v="us-gaap/2025"/>
    <n v="20251231"/>
    <n v="0"/>
    <s v="USD"/>
    <s v=""/>
    <s v=""/>
    <n v="6453783000"/>
  </r>
  <r>
    <x v="177"/>
    <x v="5"/>
    <s v="us-gaap/2025"/>
    <n v="20251231"/>
    <n v="0"/>
    <s v="USD"/>
    <s v=""/>
    <s v=""/>
    <n v="569042000"/>
  </r>
  <r>
    <x v="130"/>
    <x v="3"/>
    <s v="us-gaap/2025"/>
    <n v="20251231"/>
    <n v="4"/>
    <s v="USD"/>
    <s v=""/>
    <s v=""/>
    <n v="3.8"/>
  </r>
  <r>
    <x v="183"/>
    <x v="2"/>
    <s v="us-gaap/2025"/>
    <n v="20251231"/>
    <n v="4"/>
    <s v="USD"/>
    <s v=""/>
    <s v=""/>
    <n v="330194000"/>
  </r>
  <r>
    <x v="183"/>
    <x v="5"/>
    <s v="us-gaap/2025"/>
    <n v="20251231"/>
    <n v="0"/>
    <s v="USD"/>
    <s v=""/>
    <s v=""/>
    <n v="724884000"/>
  </r>
  <r>
    <x v="203"/>
    <x v="4"/>
    <s v="us-gaap/2025"/>
    <n v="20251231"/>
    <n v="4"/>
    <s v="USD"/>
    <s v=""/>
    <s v=""/>
    <n v="315124000"/>
  </r>
  <r>
    <x v="204"/>
    <x v="0"/>
    <s v="us-gaap/2025"/>
    <n v="20251231"/>
    <n v="0"/>
    <s v="USD"/>
    <s v=""/>
    <s v=""/>
    <n v="2759096000"/>
  </r>
  <r>
    <x v="195"/>
    <x v="3"/>
    <s v="us-gaap/2025"/>
    <n v="20251231"/>
    <n v="4"/>
    <s v="USD"/>
    <s v=""/>
    <s v=""/>
    <n v="3.2"/>
  </r>
  <r>
    <x v="195"/>
    <x v="2"/>
    <s v="us-gaap/2025"/>
    <n v="20251231"/>
    <n v="4"/>
    <s v="USD"/>
    <s v=""/>
    <s v=""/>
    <n v="142677000"/>
  </r>
  <r>
    <x v="196"/>
    <x v="0"/>
    <s v="us-gaap/2025"/>
    <n v="20251231"/>
    <n v="0"/>
    <s v="USD"/>
    <s v=""/>
    <s v=""/>
    <n v="1925646000"/>
  </r>
  <r>
    <x v="196"/>
    <x v="4"/>
    <s v="us-gaap/2025"/>
    <n v="20251231"/>
    <n v="4"/>
    <s v="USD"/>
    <s v=""/>
    <s v=""/>
    <n v="19027000"/>
  </r>
  <r>
    <x v="197"/>
    <x v="4"/>
    <s v="us-gaap/2025"/>
    <n v="20251231"/>
    <n v="4"/>
    <s v="USD"/>
    <s v=""/>
    <s v=""/>
    <n v="28198000"/>
  </r>
  <r>
    <x v="181"/>
    <x v="0"/>
    <s v="us-gaap/2025"/>
    <n v="20251231"/>
    <n v="0"/>
    <s v="USD"/>
    <s v=""/>
    <s v=""/>
    <n v="427492000000"/>
  </r>
  <r>
    <x v="187"/>
    <x v="1"/>
    <s v="us-gaap/2025"/>
    <n v="20251231"/>
    <n v="0"/>
    <s v="USD"/>
    <s v=""/>
    <s v=""/>
    <n v="2833048000"/>
  </r>
  <r>
    <x v="187"/>
    <x v="5"/>
    <s v="us-gaap/2025"/>
    <n v="20251231"/>
    <n v="0"/>
    <s v="USD"/>
    <s v=""/>
    <s v=""/>
    <n v="301073000"/>
  </r>
  <r>
    <x v="203"/>
    <x v="5"/>
    <s v="us-gaap/2025"/>
    <n v="20251231"/>
    <n v="0"/>
    <s v="USD"/>
    <s v=""/>
    <s v=""/>
    <n v="2925388000"/>
  </r>
  <r>
    <x v="198"/>
    <x v="1"/>
    <s v="us-gaap/2025"/>
    <n v="20251231"/>
    <n v="0"/>
    <s v="USD"/>
    <s v=""/>
    <s v=""/>
    <n v="2569643000"/>
  </r>
  <r>
    <x v="198"/>
    <x v="0"/>
    <s v="us-gaap/2025"/>
    <n v="20251231"/>
    <n v="0"/>
    <s v="USD"/>
    <s v=""/>
    <s v=""/>
    <n v="2288664000"/>
  </r>
  <r>
    <x v="184"/>
    <x v="1"/>
    <s v="us-gaap/2025"/>
    <n v="20251231"/>
    <n v="0"/>
    <s v="USD"/>
    <s v=""/>
    <s v=""/>
    <n v="5230084000"/>
  </r>
  <r>
    <x v="184"/>
    <x v="3"/>
    <s v="us-gaap/2025"/>
    <n v="20251231"/>
    <n v="4"/>
    <s v="USD"/>
    <s v=""/>
    <s v=""/>
    <n v="0.69"/>
  </r>
  <r>
    <x v="199"/>
    <x v="3"/>
    <s v="us-gaap/2025"/>
    <n v="20251231"/>
    <n v="4"/>
    <s v="USD"/>
    <s v=""/>
    <s v=""/>
    <n v="1.97"/>
  </r>
  <r>
    <x v="190"/>
    <x v="2"/>
    <s v="us-gaap/2025"/>
    <n v="20251231"/>
    <n v="4"/>
    <s v="USD"/>
    <s v=""/>
    <s v=""/>
    <n v="87922000"/>
  </r>
  <r>
    <x v="190"/>
    <x v="0"/>
    <s v="us-gaap/2025"/>
    <n v="20251231"/>
    <n v="0"/>
    <s v="USD"/>
    <s v=""/>
    <s v=""/>
    <n v="1815141000"/>
  </r>
  <r>
    <x v="204"/>
    <x v="2"/>
    <s v="us-gaap/2025"/>
    <n v="20251231"/>
    <n v="4"/>
    <s v="USD"/>
    <s v=""/>
    <s v=""/>
    <n v="142535000"/>
  </r>
  <r>
    <x v="204"/>
    <x v="5"/>
    <s v="us-gaap/2025"/>
    <n v="20251231"/>
    <n v="0"/>
    <s v="USD"/>
    <s v=""/>
    <s v=""/>
    <n v="500547000"/>
  </r>
  <r>
    <x v="191"/>
    <x v="1"/>
    <s v="us-gaap/2025"/>
    <n v="20251231"/>
    <n v="0"/>
    <s v="USD"/>
    <s v=""/>
    <s v=""/>
    <n v="1261457000"/>
  </r>
  <r>
    <x v="205"/>
    <x v="2"/>
    <s v="us-gaap/2025"/>
    <n v="20251231"/>
    <n v="4"/>
    <s v="USD"/>
    <s v=""/>
    <s v=""/>
    <n v="131588000"/>
  </r>
  <r>
    <x v="205"/>
    <x v="4"/>
    <s v="us-gaap/2025"/>
    <n v="20251231"/>
    <n v="4"/>
    <s v="USD"/>
    <s v=""/>
    <s v=""/>
    <n v="15613000"/>
  </r>
  <r>
    <x v="200"/>
    <x v="1"/>
    <s v="us-gaap/2025"/>
    <n v="20251231"/>
    <n v="0"/>
    <s v="USD"/>
    <s v=""/>
    <s v=""/>
    <n v="4741437000"/>
  </r>
  <r>
    <x v="198"/>
    <x v="5"/>
    <s v="us-gaap/2025"/>
    <n v="20251231"/>
    <n v="0"/>
    <s v="USD"/>
    <s v=""/>
    <s v=""/>
    <n v="280979000"/>
  </r>
  <r>
    <x v="188"/>
    <x v="3"/>
    <s v="us-gaap/2025"/>
    <n v="20251231"/>
    <n v="4"/>
    <s v="USD"/>
    <s v=""/>
    <s v=""/>
    <n v="2.84"/>
  </r>
  <r>
    <x v="189"/>
    <x v="2"/>
    <s v="us-gaap/2025"/>
    <n v="20251231"/>
    <n v="4"/>
    <s v="USD"/>
    <s v=""/>
    <s v=""/>
    <n v="78652000"/>
  </r>
  <r>
    <x v="206"/>
    <x v="1"/>
    <s v="us-gaap/2025"/>
    <n v="20251231"/>
    <n v="0"/>
    <s v="USD"/>
    <s v=""/>
    <s v=""/>
    <n v="1800579000"/>
  </r>
  <r>
    <x v="206"/>
    <x v="5"/>
    <s v="us-gaap/2025"/>
    <n v="20251231"/>
    <n v="0"/>
    <s v="USD"/>
    <s v=""/>
    <s v=""/>
    <n v="127575000"/>
  </r>
  <r>
    <x v="199"/>
    <x v="5"/>
    <s v="us-gaap/2025"/>
    <n v="20251231"/>
    <n v="0"/>
    <s v="USD"/>
    <s v=""/>
    <s v=""/>
    <n v="186196000"/>
  </r>
  <r>
    <x v="190"/>
    <x v="4"/>
    <s v="us-gaap/2025"/>
    <n v="20251231"/>
    <n v="4"/>
    <s v="USD"/>
    <s v=""/>
    <s v=""/>
    <n v="23913000"/>
  </r>
  <r>
    <x v="180"/>
    <x v="1"/>
    <s v="us-gaap/2025"/>
    <n v="20251231"/>
    <n v="0"/>
    <s v="USD"/>
    <s v=""/>
    <s v=""/>
    <n v="3606207000"/>
  </r>
  <r>
    <x v="202"/>
    <x v="1"/>
    <s v="us-gaap/2025"/>
    <n v="20251231"/>
    <n v="0"/>
    <s v="USD"/>
    <s v=""/>
    <s v=""/>
    <n v="3281771000"/>
  </r>
  <r>
    <x v="193"/>
    <x v="0"/>
    <s v="us-gaap/2025"/>
    <n v="20251231"/>
    <n v="0"/>
    <s v="USD"/>
    <s v=""/>
    <s v=""/>
    <n v="13880672000"/>
  </r>
  <r>
    <x v="202"/>
    <x v="3"/>
    <s v="us-gaap/2025"/>
    <n v="20251231"/>
    <n v="4"/>
    <s v="USD"/>
    <s v=""/>
    <s v=""/>
    <n v="2.59"/>
  </r>
  <r>
    <x v="193"/>
    <x v="5"/>
    <s v="us-gaap/2025"/>
    <n v="20251231"/>
    <n v="0"/>
    <s v="USD"/>
    <s v=""/>
    <s v=""/>
    <n v="1249868000"/>
  </r>
  <r>
    <x v="207"/>
    <x v="1"/>
    <s v="us-gaap/2025"/>
    <n v="20251231"/>
    <n v="0"/>
    <s v="USD"/>
    <s v=""/>
    <s v=""/>
    <n v="1111678000"/>
  </r>
  <r>
    <x v="207"/>
    <x v="4"/>
    <s v="us-gaap/2025"/>
    <n v="20251231"/>
    <n v="4"/>
    <s v="USD"/>
    <s v=""/>
    <s v=""/>
    <n v="16648000"/>
  </r>
  <r>
    <x v="191"/>
    <x v="2"/>
    <s v="us-gaap/2025"/>
    <n v="20251231"/>
    <n v="4"/>
    <s v="USD"/>
    <s v=""/>
    <s v=""/>
    <n v="47001000"/>
  </r>
  <r>
    <x v="200"/>
    <x v="2"/>
    <s v="us-gaap/2025"/>
    <n v="20251231"/>
    <n v="4"/>
    <s v="USD"/>
    <s v=""/>
    <s v=""/>
    <n v="429617000"/>
  </r>
  <r>
    <x v="206"/>
    <x v="3"/>
    <s v="us-gaap/2025"/>
    <n v="20251231"/>
    <n v="4"/>
    <s v="USD"/>
    <s v=""/>
    <s v=""/>
    <n v="1.79"/>
  </r>
  <r>
    <x v="206"/>
    <x v="2"/>
    <s v="us-gaap/2025"/>
    <n v="20251231"/>
    <n v="4"/>
    <s v="USD"/>
    <s v=""/>
    <s v=""/>
    <n v="71462000"/>
  </r>
  <r>
    <x v="206"/>
    <x v="0"/>
    <s v="us-gaap/2025"/>
    <n v="20251231"/>
    <n v="0"/>
    <s v="USD"/>
    <s v=""/>
    <s v=""/>
    <n v="1673004000"/>
  </r>
  <r>
    <x v="208"/>
    <x v="3"/>
    <s v="us-gaap/2025"/>
    <n v="20251231"/>
    <n v="4"/>
    <s v="USD"/>
    <s v=""/>
    <s v=""/>
    <n v="-6.12"/>
  </r>
  <r>
    <x v="182"/>
    <x v="1"/>
    <s v="us-gaap/2025"/>
    <n v="20251231"/>
    <n v="0"/>
    <s v="USD"/>
    <s v=""/>
    <s v=""/>
    <n v="9536124000"/>
  </r>
  <r>
    <x v="182"/>
    <x v="2"/>
    <s v="us-gaap/2025"/>
    <n v="20251231"/>
    <n v="4"/>
    <s v="USD"/>
    <s v=""/>
    <s v=""/>
    <n v="467589000"/>
  </r>
  <r>
    <x v="182"/>
    <x v="5"/>
    <s v="us-gaap/2025"/>
    <n v="20251231"/>
    <n v="0"/>
    <s v="USD"/>
    <s v=""/>
    <s v=""/>
    <n v="1075697000"/>
  </r>
  <r>
    <x v="209"/>
    <x v="3"/>
    <s v="us-gaap/2025"/>
    <n v="20251231"/>
    <n v="4"/>
    <s v="USD"/>
    <s v=""/>
    <s v=""/>
    <n v="1.99"/>
  </r>
  <r>
    <x v="183"/>
    <x v="4"/>
    <s v="us-gaap/2025"/>
    <n v="20251231"/>
    <n v="4"/>
    <s v="USD"/>
    <s v=""/>
    <s v=""/>
    <n v="88753000"/>
  </r>
  <r>
    <x v="203"/>
    <x v="1"/>
    <s v="us-gaap/2025"/>
    <n v="20251231"/>
    <n v="0"/>
    <s v="USD"/>
    <s v=""/>
    <s v=""/>
    <n v="24229575000"/>
  </r>
  <r>
    <x v="203"/>
    <x v="3"/>
    <s v="us-gaap/2025"/>
    <n v="20251231"/>
    <n v="4"/>
    <s v="USD"/>
    <s v=""/>
    <s v=""/>
    <n v="4.55"/>
  </r>
  <r>
    <x v="194"/>
    <x v="2"/>
    <s v="us-gaap/2025"/>
    <n v="20251231"/>
    <n v="4"/>
    <s v="USD"/>
    <s v=""/>
    <s v=""/>
    <n v="233792000"/>
  </r>
  <r>
    <x v="201"/>
    <x v="1"/>
    <s v="us-gaap/2025"/>
    <n v="20251231"/>
    <n v="0"/>
    <s v="USD"/>
    <s v=""/>
    <s v=""/>
    <n v="24895868000"/>
  </r>
  <r>
    <x v="201"/>
    <x v="5"/>
    <s v="us-gaap/2025"/>
    <n v="20251231"/>
    <n v="0"/>
    <s v="USD"/>
    <s v=""/>
    <s v=""/>
    <n v="2115517000"/>
  </r>
  <r>
    <x v="210"/>
    <x v="1"/>
    <s v="us-gaap/2025"/>
    <n v="20251231"/>
    <n v="0"/>
    <s v="USD"/>
    <s v=""/>
    <s v=""/>
    <n v="4208294000"/>
  </r>
  <r>
    <x v="210"/>
    <x v="3"/>
    <s v="us-gaap/2025"/>
    <n v="20251231"/>
    <n v="4"/>
    <s v="USD"/>
    <s v=""/>
    <s v=""/>
    <n v="1.83"/>
  </r>
  <r>
    <x v="211"/>
    <x v="2"/>
    <s v="us-gaap/2025"/>
    <n v="20251231"/>
    <n v="4"/>
    <s v="USD"/>
    <s v=""/>
    <s v=""/>
    <n v="82028000"/>
  </r>
  <r>
    <x v="211"/>
    <x v="4"/>
    <s v="us-gaap/2025"/>
    <n v="20251231"/>
    <n v="4"/>
    <s v="USD"/>
    <s v=""/>
    <s v=""/>
    <n v="13663000"/>
  </r>
  <r>
    <x v="195"/>
    <x v="4"/>
    <s v="us-gaap/2025"/>
    <n v="20251231"/>
    <n v="4"/>
    <s v="USD"/>
    <s v=""/>
    <s v=""/>
    <n v="37775000"/>
  </r>
  <r>
    <x v="195"/>
    <x v="5"/>
    <s v="us-gaap/2025"/>
    <n v="20251231"/>
    <n v="0"/>
    <s v="USD"/>
    <s v=""/>
    <s v=""/>
    <n v="324518000"/>
  </r>
  <r>
    <x v="186"/>
    <x v="3"/>
    <s v="us-gaap/2025"/>
    <n v="20251231"/>
    <n v="4"/>
    <s v="USD"/>
    <s v=""/>
    <s v=""/>
    <n v="1.63"/>
  </r>
  <r>
    <x v="196"/>
    <x v="3"/>
    <s v="us-gaap/2025"/>
    <n v="20251231"/>
    <n v="4"/>
    <s v="USD"/>
    <s v=""/>
    <s v=""/>
    <n v="2.14"/>
  </r>
  <r>
    <x v="197"/>
    <x v="2"/>
    <s v="us-gaap/2025"/>
    <n v="20251231"/>
    <n v="4"/>
    <s v="USD"/>
    <s v=""/>
    <s v=""/>
    <n v="119839000"/>
  </r>
  <r>
    <x v="197"/>
    <x v="0"/>
    <s v="us-gaap/2025"/>
    <n v="20251231"/>
    <n v="0"/>
    <s v="USD"/>
    <s v=""/>
    <s v=""/>
    <n v="2509198000"/>
  </r>
  <r>
    <x v="198"/>
    <x v="2"/>
    <s v="us-gaap/2025"/>
    <n v="20251231"/>
    <n v="4"/>
    <s v="USD"/>
    <s v=""/>
    <s v=""/>
    <n v="145750000"/>
  </r>
  <r>
    <x v="201"/>
    <x v="2"/>
    <s v="us-gaap/2025"/>
    <n v="20251231"/>
    <n v="4"/>
    <s v="USD"/>
    <s v=""/>
    <s v=""/>
    <n v="1359587000"/>
  </r>
  <r>
    <x v="188"/>
    <x v="4"/>
    <s v="us-gaap/2025"/>
    <n v="20251231"/>
    <n v="4"/>
    <s v="USD"/>
    <s v=""/>
    <s v=""/>
    <n v="15842000"/>
  </r>
  <r>
    <x v="191"/>
    <x v="4"/>
    <s v="us-gaap/2025"/>
    <n v="20251231"/>
    <n v="4"/>
    <s v="USD"/>
    <s v=""/>
    <s v=""/>
    <n v="22888000"/>
  </r>
  <r>
    <x v="135"/>
    <x v="0"/>
    <s v="us-gaap/2025"/>
    <n v="20251231"/>
    <n v="0"/>
    <s v="USD"/>
    <s v=""/>
    <s v=""/>
    <n v="13529159000"/>
  </r>
  <r>
    <x v="206"/>
    <x v="4"/>
    <s v="us-gaap/2025"/>
    <n v="20251231"/>
    <n v="4"/>
    <s v="USD"/>
    <s v=""/>
    <s v=""/>
    <n v="13697000"/>
  </r>
  <r>
    <x v="208"/>
    <x v="1"/>
    <s v="us-gaap/2025"/>
    <n v="20251231"/>
    <n v="0"/>
    <s v="USD"/>
    <s v=""/>
    <s v=""/>
    <n v="6513420000"/>
  </r>
  <r>
    <x v="208"/>
    <x v="4"/>
    <s v="us-gaap/2025"/>
    <n v="20251231"/>
    <n v="4"/>
    <s v="USD"/>
    <s v=""/>
    <s v=""/>
    <n v="-124281000"/>
  </r>
  <r>
    <x v="208"/>
    <x v="5"/>
    <s v="us-gaap/2025"/>
    <n v="20251231"/>
    <n v="0"/>
    <s v="USD"/>
    <s v=""/>
    <s v=""/>
    <n v="565499000"/>
  </r>
  <r>
    <x v="212"/>
    <x v="4"/>
    <s v="us-gaap/2025"/>
    <n v="20251231"/>
    <n v="4"/>
    <s v="USD"/>
    <s v=""/>
    <s v=""/>
    <n v="126013000"/>
  </r>
  <r>
    <x v="212"/>
    <x v="5"/>
    <s v="us-gaap/2025"/>
    <n v="20251231"/>
    <n v="0"/>
    <s v="USD"/>
    <s v=""/>
    <s v=""/>
    <n v="1890424000"/>
  </r>
  <r>
    <x v="172"/>
    <x v="3"/>
    <s v="us-gaap/2025"/>
    <n v="20251231"/>
    <n v="4"/>
    <s v="USD"/>
    <s v=""/>
    <s v=""/>
    <n v="2.19"/>
  </r>
  <r>
    <x v="213"/>
    <x v="5"/>
    <s v="us-gaap/2025"/>
    <n v="20251231"/>
    <n v="0"/>
    <s v="USD"/>
    <s v=""/>
    <s v=""/>
    <n v="2862375000"/>
  </r>
  <r>
    <x v="169"/>
    <x v="2"/>
    <s v="us-gaap/2025"/>
    <n v="20251231"/>
    <n v="4"/>
    <s v="USD"/>
    <s v=""/>
    <s v=""/>
    <n v="121604088"/>
  </r>
  <r>
    <x v="214"/>
    <x v="0"/>
    <s v="us-gaap/2025"/>
    <n v="20251231"/>
    <n v="0"/>
    <s v="USD"/>
    <s v=""/>
    <s v=""/>
    <n v="5438817000"/>
  </r>
  <r>
    <x v="207"/>
    <x v="5"/>
    <s v="us-gaap/2025"/>
    <n v="20251231"/>
    <n v="0"/>
    <s v="USD"/>
    <s v=""/>
    <s v=""/>
    <n v="121897000"/>
  </r>
  <r>
    <x v="215"/>
    <x v="2"/>
    <s v="us-gaap/2025"/>
    <n v="20251231"/>
    <n v="4"/>
    <s v="USD"/>
    <s v=""/>
    <s v=""/>
    <n v="198327000"/>
  </r>
  <r>
    <x v="136"/>
    <x v="2"/>
    <s v="us-gaap/2025"/>
    <n v="20251231"/>
    <n v="4"/>
    <s v="USD"/>
    <s v=""/>
    <s v=""/>
    <n v="760254000"/>
  </r>
  <r>
    <x v="137"/>
    <x v="3"/>
    <s v="us-gaap/2025"/>
    <n v="20251231"/>
    <n v="4"/>
    <s v="USD"/>
    <s v=""/>
    <s v=""/>
    <n v="9.35"/>
  </r>
  <r>
    <x v="207"/>
    <x v="3"/>
    <s v="us-gaap/2025"/>
    <n v="20251231"/>
    <n v="4"/>
    <s v="USD"/>
    <s v=""/>
    <s v=""/>
    <n v="1.42"/>
  </r>
  <r>
    <x v="207"/>
    <x v="0"/>
    <s v="us-gaap/2025"/>
    <n v="20251231"/>
    <n v="0"/>
    <s v="USD"/>
    <s v=""/>
    <s v=""/>
    <n v="989781000"/>
  </r>
  <r>
    <x v="213"/>
    <x v="4"/>
    <s v="us-gaap/2025"/>
    <n v="20251231"/>
    <n v="4"/>
    <s v="USD"/>
    <s v=""/>
    <s v=""/>
    <n v="265739000"/>
  </r>
  <r>
    <x v="216"/>
    <x v="1"/>
    <s v="us-gaap/2025"/>
    <n v="20251231"/>
    <n v="0"/>
    <s v="USD"/>
    <s v=""/>
    <s v=""/>
    <n v="2057732000"/>
  </r>
  <r>
    <x v="211"/>
    <x v="0"/>
    <s v="us-gaap/2025"/>
    <n v="20251231"/>
    <n v="0"/>
    <s v="USD"/>
    <s v=""/>
    <s v=""/>
    <n v="1437950000"/>
  </r>
  <r>
    <x v="217"/>
    <x v="0"/>
    <s v="us-gaap/2025"/>
    <n v="20251231"/>
    <n v="0"/>
    <s v="USD"/>
    <s v=""/>
    <s v=""/>
    <n v="2574357000"/>
  </r>
  <r>
    <x v="217"/>
    <x v="5"/>
    <s v="us-gaap/2025"/>
    <n v="20251231"/>
    <n v="0"/>
    <s v="USD"/>
    <s v=""/>
    <s v=""/>
    <n v="217183000"/>
  </r>
  <r>
    <x v="216"/>
    <x v="0"/>
    <s v="us-gaap/2025"/>
    <n v="20251231"/>
    <n v="0"/>
    <s v="USD"/>
    <s v=""/>
    <s v=""/>
    <n v="1890175000"/>
  </r>
  <r>
    <x v="216"/>
    <x v="4"/>
    <s v="us-gaap/2025"/>
    <n v="20251231"/>
    <n v="4"/>
    <s v="USD"/>
    <s v=""/>
    <s v=""/>
    <n v="19205000"/>
  </r>
  <r>
    <x v="173"/>
    <x v="3"/>
    <s v="us-gaap/2025"/>
    <n v="20251231"/>
    <n v="4"/>
    <s v="USD"/>
    <s v=""/>
    <s v=""/>
    <n v="1.99"/>
  </r>
  <r>
    <x v="217"/>
    <x v="3"/>
    <s v="us-gaap/2025"/>
    <n v="20251231"/>
    <n v="4"/>
    <s v="USD"/>
    <s v=""/>
    <s v=""/>
    <n v="1.34"/>
  </r>
  <r>
    <x v="144"/>
    <x v="5"/>
    <s v="us-gaap/2025"/>
    <n v="20251231"/>
    <n v="0"/>
    <s v="USD"/>
    <s v=""/>
    <s v=""/>
    <n v="958692000"/>
  </r>
  <r>
    <x v="146"/>
    <x v="3"/>
    <s v="us-gaap/2025"/>
    <n v="20251231"/>
    <n v="4"/>
    <s v="USD"/>
    <s v=""/>
    <s v=""/>
    <n v="3.28"/>
  </r>
  <r>
    <x v="146"/>
    <x v="4"/>
    <s v="us-gaap/2025"/>
    <n v="20251231"/>
    <n v="4"/>
    <s v="USD"/>
    <s v=""/>
    <s v=""/>
    <n v="464603000"/>
  </r>
  <r>
    <x v="146"/>
    <x v="5"/>
    <s v="us-gaap/2025"/>
    <n v="20251231"/>
    <n v="0"/>
    <s v="USD"/>
    <s v=""/>
    <s v=""/>
    <n v="5495983000"/>
  </r>
  <r>
    <x v="211"/>
    <x v="1"/>
    <s v="us-gaap/2025"/>
    <n v="20251231"/>
    <n v="0"/>
    <s v="USD"/>
    <s v=""/>
    <s v=""/>
    <n v="1595721000"/>
  </r>
  <r>
    <x v="211"/>
    <x v="5"/>
    <s v="us-gaap/2025"/>
    <n v="20251231"/>
    <n v="0"/>
    <s v="USD"/>
    <s v=""/>
    <s v=""/>
    <n v="157771000"/>
  </r>
  <r>
    <x v="152"/>
    <x v="4"/>
    <s v="us-gaap/2025"/>
    <n v="20251231"/>
    <n v="4"/>
    <s v="USD"/>
    <s v=""/>
    <s v=""/>
    <n v="75699000"/>
  </r>
  <r>
    <x v="142"/>
    <x v="0"/>
    <s v="us-gaap/2025"/>
    <n v="20251231"/>
    <n v="0"/>
    <s v="USD"/>
    <s v=""/>
    <s v=""/>
    <n v="13335830000"/>
  </r>
  <r>
    <x v="218"/>
    <x v="5"/>
    <s v="us-gaap/2025"/>
    <n v="20251231"/>
    <n v="0"/>
    <s v="USD"/>
    <s v=""/>
    <s v=""/>
    <n v="1246685000"/>
  </r>
  <r>
    <x v="213"/>
    <x v="1"/>
    <s v="us-gaap/2025"/>
    <n v="20251231"/>
    <n v="0"/>
    <s v="USD"/>
    <s v=""/>
    <s v=""/>
    <n v="22351475000"/>
  </r>
  <r>
    <x v="178"/>
    <x v="1"/>
    <s v="us-gaap/2025"/>
    <n v="20251231"/>
    <n v="0"/>
    <s v="USD"/>
    <s v=""/>
    <s v=""/>
    <n v="9352425000"/>
  </r>
  <r>
    <x v="215"/>
    <x v="1"/>
    <s v="us-gaap/2025"/>
    <n v="20251231"/>
    <n v="0"/>
    <s v="USD"/>
    <s v=""/>
    <s v=""/>
    <n v="3359859000"/>
  </r>
  <r>
    <x v="215"/>
    <x v="3"/>
    <s v="us-gaap/2025"/>
    <n v="20251231"/>
    <n v="4"/>
    <s v="USD"/>
    <s v=""/>
    <s v=""/>
    <n v="4.49"/>
  </r>
  <r>
    <x v="219"/>
    <x v="3"/>
    <s v="us-gaap/2025"/>
    <n v="20251231"/>
    <n v="4"/>
    <s v="USD"/>
    <s v=""/>
    <s v=""/>
    <n v="2.81"/>
  </r>
  <r>
    <x v="220"/>
    <x v="3"/>
    <s v="us-gaap/2025"/>
    <n v="20251231"/>
    <n v="4"/>
    <s v="USD"/>
    <s v=""/>
    <s v=""/>
    <n v="20.05"/>
  </r>
  <r>
    <x v="213"/>
    <x v="2"/>
    <s v="us-gaap/2025"/>
    <n v="20251231"/>
    <n v="4"/>
    <s v="USD"/>
    <s v=""/>
    <s v=""/>
    <n v="811764000"/>
  </r>
  <r>
    <x v="145"/>
    <x v="5"/>
    <s v="us-gaap/2024"/>
    <n v="20251231"/>
    <n v="0"/>
    <s v="USD"/>
    <s v=""/>
    <s v=""/>
    <n v="6249079000"/>
  </r>
  <r>
    <x v="176"/>
    <x v="1"/>
    <s v="us-gaap/2025"/>
    <n v="20251231"/>
    <n v="0"/>
    <s v="USD"/>
    <s v=""/>
    <s v=""/>
    <n v="22881879000"/>
  </r>
  <r>
    <x v="176"/>
    <x v="5"/>
    <s v="us-gaap/2025"/>
    <n v="20251231"/>
    <n v="0"/>
    <s v="USD"/>
    <s v=""/>
    <s v=""/>
    <n v="4296871000"/>
  </r>
  <r>
    <x v="177"/>
    <x v="3"/>
    <s v="us-gaap/2025"/>
    <n v="20251231"/>
    <n v="4"/>
    <s v="USD"/>
    <s v=""/>
    <s v=""/>
    <n v="2.14"/>
  </r>
  <r>
    <x v="214"/>
    <x v="1"/>
    <s v="us-gaap/2025"/>
    <n v="20251231"/>
    <n v="0"/>
    <s v="USD"/>
    <s v=""/>
    <s v=""/>
    <n v="6380588000"/>
  </r>
  <r>
    <x v="221"/>
    <x v="5"/>
    <s v="us-gaap/2025"/>
    <n v="20251231"/>
    <n v="0"/>
    <s v="USD"/>
    <s v=""/>
    <s v=""/>
    <n v="20381000000"/>
  </r>
  <r>
    <x v="217"/>
    <x v="2"/>
    <s v="us-gaap/2025"/>
    <n v="20251231"/>
    <n v="4"/>
    <s v="USD"/>
    <s v=""/>
    <s v=""/>
    <n v="145487000"/>
  </r>
  <r>
    <x v="217"/>
    <x v="4"/>
    <s v="us-gaap/2025"/>
    <n v="20251231"/>
    <n v="4"/>
    <s v="USD"/>
    <s v=""/>
    <s v=""/>
    <n v="26100000"/>
  </r>
  <r>
    <x v="179"/>
    <x v="4"/>
    <s v="us-gaap/2025"/>
    <n v="20251231"/>
    <n v="4"/>
    <s v="USD"/>
    <s v=""/>
    <s v=""/>
    <n v="-35675000"/>
  </r>
  <r>
    <x v="222"/>
    <x v="2"/>
    <s v="us-gaap/2025"/>
    <n v="20251231"/>
    <n v="4"/>
    <s v="USD"/>
    <s v=""/>
    <s v=""/>
    <n v="4692900000"/>
  </r>
  <r>
    <x v="148"/>
    <x v="1"/>
    <s v="us-gaap/2025"/>
    <n v="20251231"/>
    <n v="0"/>
    <s v="USD"/>
    <s v=""/>
    <s v=""/>
    <n v="1196345000"/>
  </r>
  <r>
    <x v="221"/>
    <x v="6"/>
    <s v="us-gaap/2025"/>
    <n v="20251231"/>
    <n v="4"/>
    <s v="USD"/>
    <s v=""/>
    <s v=""/>
    <n v="624000000"/>
  </r>
  <r>
    <x v="221"/>
    <x v="0"/>
    <s v="us-gaap/2025"/>
    <n v="20251231"/>
    <n v="0"/>
    <s v="USD"/>
    <s v=""/>
    <s v=""/>
    <n v="164000000000"/>
  </r>
  <r>
    <x v="215"/>
    <x v="0"/>
    <s v="us-gaap/2025"/>
    <n v="20251231"/>
    <n v="0"/>
    <s v="USD"/>
    <s v=""/>
    <s v=""/>
    <n v="3058370000"/>
  </r>
  <r>
    <x v="180"/>
    <x v="5"/>
    <s v="us-gaap/2025"/>
    <n v="20251231"/>
    <n v="0"/>
    <s v="USD"/>
    <s v=""/>
    <s v=""/>
    <n v="401757000"/>
  </r>
  <r>
    <x v="218"/>
    <x v="1"/>
    <s v="us-gaap/2025"/>
    <n v="20251231"/>
    <n v="0"/>
    <s v="USD"/>
    <s v=""/>
    <s v=""/>
    <n v="9724722000"/>
  </r>
  <r>
    <x v="218"/>
    <x v="2"/>
    <s v="us-gaap/2025"/>
    <n v="20251231"/>
    <n v="4"/>
    <s v="USD"/>
    <s v=""/>
    <s v=""/>
    <n v="537963000"/>
  </r>
  <r>
    <x v="213"/>
    <x v="3"/>
    <s v="us-gaap/2025"/>
    <n v="20251231"/>
    <n v="4"/>
    <s v="USD"/>
    <s v=""/>
    <s v=""/>
    <n v="1.27"/>
  </r>
  <r>
    <x v="223"/>
    <x v="3"/>
    <s v="us-gaap/2025"/>
    <n v="20251231"/>
    <n v="4"/>
    <s v="USD"/>
    <s v=""/>
    <s v=""/>
    <n v="1.59"/>
  </r>
  <r>
    <x v="224"/>
    <x v="1"/>
    <s v="us-gaap/2025"/>
    <n v="20251231"/>
    <n v="0"/>
    <s v="USD"/>
    <s v=""/>
    <s v=""/>
    <n v="3154981000"/>
  </r>
  <r>
    <x v="224"/>
    <x v="0"/>
    <s v="us-gaap/2025"/>
    <n v="20251231"/>
    <n v="0"/>
    <s v="USD"/>
    <s v=""/>
    <s v=""/>
    <n v="2889421000"/>
  </r>
  <r>
    <x v="225"/>
    <x v="1"/>
    <s v="us-gaap/2025"/>
    <n v="20251231"/>
    <n v="0"/>
    <s v="USD"/>
    <s v=""/>
    <s v=""/>
    <n v="24540877000"/>
  </r>
  <r>
    <x v="225"/>
    <x v="5"/>
    <s v="us-gaap/2025"/>
    <n v="20251231"/>
    <n v="0"/>
    <s v="USD"/>
    <s v=""/>
    <s v=""/>
    <n v="3419240000"/>
  </r>
  <r>
    <x v="226"/>
    <x v="5"/>
    <s v="us-gaap/2025"/>
    <n v="20251231"/>
    <n v="0"/>
    <s v="USD"/>
    <s v=""/>
    <s v=""/>
    <n v="3541277000"/>
  </r>
  <r>
    <x v="227"/>
    <x v="1"/>
    <s v="us-gaap/2025"/>
    <n v="20251231"/>
    <n v="0"/>
    <s v="USD"/>
    <s v=""/>
    <s v=""/>
    <n v="1547693000"/>
  </r>
  <r>
    <x v="214"/>
    <x v="3"/>
    <s v="us-gaap/2025"/>
    <n v="20251231"/>
    <n v="4"/>
    <s v="USD"/>
    <s v=""/>
    <s v=""/>
    <n v="0.94"/>
  </r>
  <r>
    <x v="214"/>
    <x v="4"/>
    <s v="us-gaap/2025"/>
    <n v="20251231"/>
    <n v="4"/>
    <s v="USD"/>
    <s v=""/>
    <s v=""/>
    <n v="25359000"/>
  </r>
  <r>
    <x v="149"/>
    <x v="0"/>
    <s v="us-gaap/2025"/>
    <n v="20251231"/>
    <n v="0"/>
    <s v="USD"/>
    <s v=""/>
    <s v=""/>
    <n v="5641118000"/>
  </r>
  <r>
    <x v="192"/>
    <x v="2"/>
    <s v="us-gaap/2025"/>
    <n v="20251231"/>
    <n v="4"/>
    <s v="USD"/>
    <s v=""/>
    <s v=""/>
    <n v="644868000"/>
  </r>
  <r>
    <x v="219"/>
    <x v="0"/>
    <s v="us-gaap/2025"/>
    <n v="20251231"/>
    <n v="0"/>
    <s v="USD"/>
    <s v=""/>
    <s v=""/>
    <n v="7317857000"/>
  </r>
  <r>
    <x v="219"/>
    <x v="4"/>
    <s v="us-gaap/2025"/>
    <n v="20251231"/>
    <n v="4"/>
    <s v="USD"/>
    <s v=""/>
    <s v=""/>
    <n v="87861000"/>
  </r>
  <r>
    <x v="182"/>
    <x v="0"/>
    <s v="us-gaap/2025"/>
    <n v="20251231"/>
    <n v="0"/>
    <s v="USD"/>
    <s v=""/>
    <s v=""/>
    <n v="8460427000"/>
  </r>
  <r>
    <x v="162"/>
    <x v="6"/>
    <s v="us-gaap/2025"/>
    <n v="20251231"/>
    <n v="4"/>
    <s v="USD"/>
    <s v=""/>
    <s v=""/>
    <n v="432617000"/>
  </r>
  <r>
    <x v="162"/>
    <x v="0"/>
    <s v="us-gaap/2025"/>
    <n v="20251231"/>
    <n v="0"/>
    <s v="USD"/>
    <s v=""/>
    <s v=""/>
    <n v="7226430000"/>
  </r>
  <r>
    <x v="228"/>
    <x v="1"/>
    <s v="us-gaap/2025"/>
    <n v="20251231"/>
    <n v="0"/>
    <s v="USD"/>
    <s v=""/>
    <s v=""/>
    <n v="4754861000"/>
  </r>
  <r>
    <x v="228"/>
    <x v="5"/>
    <s v="us-gaap/2025"/>
    <n v="20251231"/>
    <n v="0"/>
    <s v="USD"/>
    <s v=""/>
    <s v=""/>
    <n v="445832000"/>
  </r>
  <r>
    <x v="216"/>
    <x v="3"/>
    <s v="us-gaap/2025"/>
    <n v="20251231"/>
    <n v="4"/>
    <s v="USD"/>
    <s v=""/>
    <s v=""/>
    <n v="2.5099999999999998"/>
  </r>
  <r>
    <x v="216"/>
    <x v="2"/>
    <s v="us-gaap/2025"/>
    <n v="20251231"/>
    <n v="4"/>
    <s v="USD"/>
    <s v=""/>
    <s v=""/>
    <n v="97054000"/>
  </r>
  <r>
    <x v="151"/>
    <x v="2"/>
    <s v="us-gaap/2025"/>
    <n v="20251231"/>
    <n v="4"/>
    <s v="USD"/>
    <s v=""/>
    <s v=""/>
    <n v="197611000"/>
  </r>
  <r>
    <x v="184"/>
    <x v="0"/>
    <s v="us-gaap/2025"/>
    <n v="20251231"/>
    <n v="0"/>
    <s v="USD"/>
    <s v=""/>
    <s v=""/>
    <n v="4665150000"/>
  </r>
  <r>
    <x v="194"/>
    <x v="3"/>
    <s v="us-gaap/2025"/>
    <n v="20251231"/>
    <n v="4"/>
    <s v="USD"/>
    <s v=""/>
    <s v=""/>
    <n v="1.46"/>
  </r>
  <r>
    <x v="194"/>
    <x v="0"/>
    <s v="us-gaap/2025"/>
    <n v="20251231"/>
    <n v="0"/>
    <s v="USD"/>
    <s v=""/>
    <s v=""/>
    <n v="4760145000"/>
  </r>
  <r>
    <x v="229"/>
    <x v="2"/>
    <s v="us-gaap/2025"/>
    <n v="20251231"/>
    <n v="4"/>
    <s v="USD"/>
    <s v=""/>
    <s v=""/>
    <n v="256999000"/>
  </r>
  <r>
    <x v="204"/>
    <x v="1"/>
    <s v="us-gaap/2025"/>
    <n v="20251231"/>
    <n v="0"/>
    <s v="USD"/>
    <s v=""/>
    <s v=""/>
    <n v="3259643000"/>
  </r>
  <r>
    <x v="204"/>
    <x v="3"/>
    <s v="us-gaap/2025"/>
    <n v="20251231"/>
    <n v="4"/>
    <s v="USD"/>
    <s v=""/>
    <s v=""/>
    <n v="2.66"/>
  </r>
  <r>
    <x v="185"/>
    <x v="3"/>
    <s v="us-gaap/2025"/>
    <n v="20251231"/>
    <n v="4"/>
    <s v="USD"/>
    <s v=""/>
    <s v=""/>
    <n v="1.9"/>
  </r>
  <r>
    <x v="195"/>
    <x v="1"/>
    <s v="us-gaap/2025"/>
    <n v="20251231"/>
    <n v="0"/>
    <s v="USD"/>
    <s v=""/>
    <s v=""/>
    <n v="2249436000"/>
  </r>
  <r>
    <x v="230"/>
    <x v="5"/>
    <s v="us-gaap/2025"/>
    <n v="20251231"/>
    <n v="0"/>
    <s v="USD"/>
    <s v=""/>
    <s v=""/>
    <n v="419974000"/>
  </r>
  <r>
    <x v="205"/>
    <x v="0"/>
    <s v="us-gaap/2025"/>
    <n v="20251231"/>
    <n v="0"/>
    <s v="USD"/>
    <s v=""/>
    <s v=""/>
    <n v="1994078000"/>
  </r>
  <r>
    <x v="197"/>
    <x v="5"/>
    <s v="us-gaap/2025"/>
    <n v="20251231"/>
    <n v="0"/>
    <s v="USD"/>
    <s v=""/>
    <s v=""/>
    <n v="238860000"/>
  </r>
  <r>
    <x v="187"/>
    <x v="2"/>
    <s v="us-gaap/2025"/>
    <n v="20251231"/>
    <n v="4"/>
    <s v="USD"/>
    <s v=""/>
    <s v=""/>
    <n v="144016000"/>
  </r>
  <r>
    <x v="220"/>
    <x v="5"/>
    <s v="us-gaap/2025"/>
    <n v="20251231"/>
    <n v="0"/>
    <s v="USD"/>
    <s v=""/>
    <s v=""/>
    <n v="362438000000"/>
  </r>
  <r>
    <x v="229"/>
    <x v="0"/>
    <s v="us-gaap/2025"/>
    <n v="20251231"/>
    <n v="0"/>
    <s v="USD"/>
    <s v=""/>
    <s v=""/>
    <n v="5056131000"/>
  </r>
  <r>
    <x v="231"/>
    <x v="2"/>
    <s v="us-gaap/2025"/>
    <n v="20251231"/>
    <n v="4"/>
    <s v="USD"/>
    <s v=""/>
    <s v=""/>
    <n v="132835000"/>
  </r>
  <r>
    <x v="188"/>
    <x v="1"/>
    <s v="us-gaap/2025"/>
    <n v="20251231"/>
    <n v="0"/>
    <s v="USD"/>
    <s v=""/>
    <s v=""/>
    <n v="1293303000"/>
  </r>
  <r>
    <x v="188"/>
    <x v="2"/>
    <s v="us-gaap/2025"/>
    <n v="20251231"/>
    <n v="4"/>
    <s v="USD"/>
    <s v=""/>
    <s v=""/>
    <n v="65749000"/>
  </r>
  <r>
    <x v="189"/>
    <x v="4"/>
    <s v="us-gaap/2025"/>
    <n v="20251231"/>
    <n v="4"/>
    <s v="USD"/>
    <s v=""/>
    <s v=""/>
    <n v="13673000"/>
  </r>
  <r>
    <x v="232"/>
    <x v="3"/>
    <s v="us-gaap/2025"/>
    <n v="20251231"/>
    <n v="4"/>
    <s v="USD"/>
    <s v=""/>
    <s v=""/>
    <n v="2.0099999999999998"/>
  </r>
  <r>
    <x v="232"/>
    <x v="5"/>
    <s v="us-gaap/2025"/>
    <n v="20251231"/>
    <n v="0"/>
    <s v="USD"/>
    <s v=""/>
    <s v=""/>
    <n v="409588000"/>
  </r>
  <r>
    <x v="153"/>
    <x v="1"/>
    <s v="us-gaap/2025"/>
    <n v="20251231"/>
    <n v="0"/>
    <s v="USD"/>
    <s v=""/>
    <s v=""/>
    <n v="1154785000"/>
  </r>
  <r>
    <x v="199"/>
    <x v="4"/>
    <s v="us-gaap/2025"/>
    <n v="20251231"/>
    <n v="4"/>
    <s v="USD"/>
    <s v=""/>
    <s v=""/>
    <n v="17703000"/>
  </r>
  <r>
    <x v="190"/>
    <x v="1"/>
    <s v="us-gaap/2025"/>
    <n v="20251231"/>
    <n v="0"/>
    <s v="USD"/>
    <s v=""/>
    <s v=""/>
    <n v="2023116000"/>
  </r>
  <r>
    <x v="233"/>
    <x v="3"/>
    <s v="us-gaap/2025"/>
    <n v="20251231"/>
    <n v="4"/>
    <s v="USD"/>
    <s v=""/>
    <s v=""/>
    <n v="4.21"/>
  </r>
  <r>
    <x v="234"/>
    <x v="4"/>
    <s v="us-gaap/2025"/>
    <n v="20251231"/>
    <n v="4"/>
    <s v="USD"/>
    <s v=""/>
    <s v=""/>
    <n v="20237000"/>
  </r>
  <r>
    <x v="234"/>
    <x v="5"/>
    <s v="us-gaap/2025"/>
    <n v="20251231"/>
    <n v="0"/>
    <s v="USD"/>
    <s v=""/>
    <s v=""/>
    <n v="169219000"/>
  </r>
  <r>
    <x v="191"/>
    <x v="5"/>
    <s v="us-gaap/2025"/>
    <n v="20251231"/>
    <n v="0"/>
    <s v="USD"/>
    <s v=""/>
    <s v=""/>
    <n v="118399000"/>
  </r>
  <r>
    <x v="154"/>
    <x v="2"/>
    <s v="us-gaap/2025"/>
    <n v="20251231"/>
    <n v="4"/>
    <s v="USD"/>
    <s v=""/>
    <s v=""/>
    <n v="127713000"/>
  </r>
  <r>
    <x v="231"/>
    <x v="3"/>
    <s v="us-gaap/2025"/>
    <n v="20251231"/>
    <n v="4"/>
    <s v="USD"/>
    <s v=""/>
    <s v=""/>
    <n v="3.14"/>
  </r>
  <r>
    <x v="200"/>
    <x v="5"/>
    <s v="us-gaap/2025"/>
    <n v="20251231"/>
    <n v="0"/>
    <s v="USD"/>
    <s v=""/>
    <s v=""/>
    <n v="490959000"/>
  </r>
  <r>
    <x v="222"/>
    <x v="0"/>
    <s v="us-gaap/2025"/>
    <n v="20251231"/>
    <n v="0"/>
    <s v="USD"/>
    <s v=""/>
    <s v=""/>
    <n v="84828000000"/>
  </r>
  <r>
    <x v="193"/>
    <x v="1"/>
    <s v="us-gaap/2025"/>
    <n v="20251231"/>
    <n v="0"/>
    <s v="USD"/>
    <s v=""/>
    <s v=""/>
    <n v="15134778000"/>
  </r>
  <r>
    <x v="193"/>
    <x v="3"/>
    <s v="us-gaap/2025"/>
    <n v="20251231"/>
    <n v="4"/>
    <s v="USD"/>
    <s v=""/>
    <s v=""/>
    <n v="2.25"/>
  </r>
  <r>
    <x v="193"/>
    <x v="2"/>
    <s v="us-gaap/2025"/>
    <n v="20251231"/>
    <n v="4"/>
    <s v="USD"/>
    <s v=""/>
    <s v=""/>
    <n v="908472000"/>
  </r>
  <r>
    <x v="208"/>
    <x v="6"/>
    <s v="us-gaap/2025"/>
    <n v="20251231"/>
    <n v="4"/>
    <s v="USD"/>
    <s v=""/>
    <s v=""/>
    <n v="387867000"/>
  </r>
  <r>
    <x v="208"/>
    <x v="0"/>
    <s v="us-gaap/2025"/>
    <n v="20251231"/>
    <n v="0"/>
    <s v="USD"/>
    <s v=""/>
    <s v=""/>
    <n v="5947921000"/>
  </r>
  <r>
    <x v="219"/>
    <x v="2"/>
    <s v="us-gaap/2025"/>
    <n v="20251231"/>
    <n v="4"/>
    <s v="USD"/>
    <s v=""/>
    <s v=""/>
    <n v="465011000"/>
  </r>
  <r>
    <x v="221"/>
    <x v="1"/>
    <s v="us-gaap/2025"/>
    <n v="20251231"/>
    <n v="0"/>
    <s v="USD"/>
    <s v=""/>
    <s v=""/>
    <n v="184381000000"/>
  </r>
  <r>
    <x v="212"/>
    <x v="1"/>
    <s v="us-gaap/2025"/>
    <n v="20251231"/>
    <n v="0"/>
    <s v="USD"/>
    <s v=""/>
    <s v=""/>
    <n v="16766617000"/>
  </r>
  <r>
    <x v="235"/>
    <x v="4"/>
    <s v="us-gaap/2025"/>
    <n v="20251231"/>
    <n v="4"/>
    <s v="USD"/>
    <s v=""/>
    <s v=""/>
    <n v="11576767"/>
  </r>
  <r>
    <x v="236"/>
    <x v="5"/>
    <s v="us-gaap/2025"/>
    <n v="20251231"/>
    <n v="0"/>
    <s v="USD"/>
    <s v=""/>
    <s v=""/>
    <n v="94680000"/>
  </r>
  <r>
    <x v="225"/>
    <x v="4"/>
    <s v="us-gaap/2025"/>
    <n v="20251231"/>
    <n v="4"/>
    <s v="USD"/>
    <s v=""/>
    <s v=""/>
    <n v="-397553000"/>
  </r>
  <r>
    <x v="165"/>
    <x v="5"/>
    <s v="us-gaap/2025"/>
    <n v="20251231"/>
    <n v="0"/>
    <s v="USD"/>
    <s v=""/>
    <s v=""/>
    <n v="270712000"/>
  </r>
  <r>
    <x v="156"/>
    <x v="3"/>
    <s v="us-gaap/2025"/>
    <n v="20251231"/>
    <n v="4"/>
    <s v="USD"/>
    <s v=""/>
    <s v=""/>
    <n v="3.79"/>
  </r>
  <r>
    <x v="157"/>
    <x v="5"/>
    <s v="us-gaap/2025"/>
    <n v="20251231"/>
    <n v="0"/>
    <s v="USD"/>
    <s v=""/>
    <s v=""/>
    <n v="126280000"/>
  </r>
  <r>
    <x v="237"/>
    <x v="5"/>
    <s v="us-gaap/2025"/>
    <n v="20251231"/>
    <n v="0"/>
    <s v="USD"/>
    <s v=""/>
    <s v=""/>
    <n v="87569000"/>
  </r>
  <r>
    <x v="220"/>
    <x v="4"/>
    <s v="us-gaap/2025"/>
    <n v="20251231"/>
    <n v="4"/>
    <s v="USD"/>
    <s v=""/>
    <s v=""/>
    <n v="57048000000"/>
  </r>
  <r>
    <x v="238"/>
    <x v="5"/>
    <s v="us-gaap/2025"/>
    <n v="20251231"/>
    <n v="0"/>
    <s v="USD"/>
    <s v=""/>
    <s v=""/>
    <n v="113686978"/>
  </r>
  <r>
    <x v="239"/>
    <x v="4"/>
    <s v="us-gaap/2025"/>
    <n v="20251231"/>
    <n v="4"/>
    <s v="USD"/>
    <s v=""/>
    <s v=""/>
    <n v="11229000"/>
  </r>
  <r>
    <x v="237"/>
    <x v="4"/>
    <s v="us-gaap/2025"/>
    <n v="20251231"/>
    <n v="4"/>
    <s v="USD"/>
    <s v=""/>
    <s v=""/>
    <n v="-22937000"/>
  </r>
  <r>
    <x v="240"/>
    <x v="2"/>
    <s v="us-gaap/2025"/>
    <n v="20251231"/>
    <n v="4"/>
    <s v="USD"/>
    <s v=""/>
    <s v=""/>
    <n v="833926000"/>
  </r>
  <r>
    <x v="228"/>
    <x v="3"/>
    <s v="us-gaap/2025"/>
    <n v="20251231"/>
    <n v="4"/>
    <s v="USD"/>
    <s v=""/>
    <s v=""/>
    <n v="2.9"/>
  </r>
  <r>
    <x v="228"/>
    <x v="2"/>
    <s v="us-gaap/2025"/>
    <n v="20251231"/>
    <n v="4"/>
    <s v="USD"/>
    <s v=""/>
    <s v=""/>
    <n v="248933000"/>
  </r>
  <r>
    <x v="223"/>
    <x v="0"/>
    <s v="us-gaap/2025"/>
    <n v="20251231"/>
    <n v="0"/>
    <s v="USD"/>
    <s v=""/>
    <s v=""/>
    <n v="17786544000"/>
  </r>
  <r>
    <x v="223"/>
    <x v="4"/>
    <s v="us-gaap/2025"/>
    <n v="20251231"/>
    <n v="4"/>
    <s v="USD"/>
    <s v=""/>
    <s v=""/>
    <n v="144878000"/>
  </r>
  <r>
    <x v="224"/>
    <x v="4"/>
    <s v="us-gaap/2025"/>
    <n v="20251231"/>
    <n v="4"/>
    <s v="USD"/>
    <s v=""/>
    <s v=""/>
    <n v="13188000"/>
  </r>
  <r>
    <x v="226"/>
    <x v="2"/>
    <s v="us-gaap/2025"/>
    <n v="20251231"/>
    <n v="4"/>
    <s v="USD"/>
    <s v=""/>
    <s v=""/>
    <n v="1676653000"/>
  </r>
  <r>
    <x v="229"/>
    <x v="1"/>
    <s v="us-gaap/2025"/>
    <n v="20251231"/>
    <n v="0"/>
    <s v="USD"/>
    <s v=""/>
    <s v=""/>
    <n v="5764697000"/>
  </r>
  <r>
    <x v="225"/>
    <x v="0"/>
    <s v="us-gaap/2025"/>
    <n v="20251231"/>
    <n v="0"/>
    <s v="USD"/>
    <s v=""/>
    <s v=""/>
    <n v="21121637000"/>
  </r>
  <r>
    <x v="232"/>
    <x v="4"/>
    <s v="us-gaap/2025"/>
    <n v="20251231"/>
    <n v="4"/>
    <s v="USD"/>
    <s v=""/>
    <s v=""/>
    <n v="38168000"/>
  </r>
  <r>
    <x v="241"/>
    <x v="3"/>
    <s v="us-gaap/2025"/>
    <n v="20251231"/>
    <n v="4"/>
    <s v="USD"/>
    <s v=""/>
    <s v=""/>
    <n v="1.22"/>
  </r>
  <r>
    <x v="241"/>
    <x v="5"/>
    <s v="us-gaap/2025"/>
    <n v="20251231"/>
    <n v="0"/>
    <s v="USD"/>
    <s v=""/>
    <s v=""/>
    <n v="253600000"/>
  </r>
  <r>
    <x v="229"/>
    <x v="3"/>
    <s v="us-gaap/2025"/>
    <n v="20251231"/>
    <n v="4"/>
    <s v="USD"/>
    <s v=""/>
    <s v=""/>
    <n v="0.78"/>
  </r>
  <r>
    <x v="229"/>
    <x v="5"/>
    <s v="us-gaap/2025"/>
    <n v="20251231"/>
    <n v="0"/>
    <s v="USD"/>
    <s v=""/>
    <s v=""/>
    <n v="708566000"/>
  </r>
  <r>
    <x v="242"/>
    <x v="5"/>
    <s v="us-gaap/2025"/>
    <n v="20251231"/>
    <n v="0"/>
    <s v="USD"/>
    <s v=""/>
    <s v=""/>
    <n v="1153356000"/>
  </r>
  <r>
    <x v="231"/>
    <x v="5"/>
    <s v="us-gaap/2025"/>
    <n v="20251231"/>
    <n v="0"/>
    <s v="USD"/>
    <s v=""/>
    <s v=""/>
    <n v="254709000"/>
  </r>
  <r>
    <x v="232"/>
    <x v="0"/>
    <s v="us-gaap/2025"/>
    <n v="20251231"/>
    <n v="0"/>
    <s v="USD"/>
    <s v=""/>
    <s v=""/>
    <n v="3280729000"/>
  </r>
  <r>
    <x v="243"/>
    <x v="2"/>
    <s v="us-gaap/2025"/>
    <n v="20251231"/>
    <n v="4"/>
    <s v="USD"/>
    <s v=""/>
    <s v=""/>
    <n v="150328000"/>
  </r>
  <r>
    <x v="243"/>
    <x v="0"/>
    <s v="us-gaap/2025"/>
    <n v="20251231"/>
    <n v="0"/>
    <s v="USD"/>
    <s v=""/>
    <s v=""/>
    <n v="2422333000"/>
  </r>
  <r>
    <x v="230"/>
    <x v="0"/>
    <s v="us-gaap/2025"/>
    <n v="20251231"/>
    <n v="0"/>
    <s v="USD"/>
    <s v=""/>
    <s v=""/>
    <n v="2808152000"/>
  </r>
  <r>
    <x v="230"/>
    <x v="4"/>
    <s v="us-gaap/2025"/>
    <n v="20251231"/>
    <n v="4"/>
    <s v="USD"/>
    <s v=""/>
    <s v=""/>
    <n v="37051000"/>
  </r>
  <r>
    <x v="234"/>
    <x v="1"/>
    <s v="us-gaap/2025"/>
    <n v="20251231"/>
    <n v="0"/>
    <s v="USD"/>
    <s v=""/>
    <s v=""/>
    <n v="1750399000"/>
  </r>
  <r>
    <x v="234"/>
    <x v="2"/>
    <s v="us-gaap/2025"/>
    <n v="20251231"/>
    <n v="4"/>
    <s v="USD"/>
    <s v=""/>
    <s v=""/>
    <n v="55843000"/>
  </r>
  <r>
    <x v="233"/>
    <x v="1"/>
    <s v="us-gaap/2025"/>
    <n v="20251231"/>
    <n v="0"/>
    <s v="USD"/>
    <s v=""/>
    <s v=""/>
    <n v="5542255000"/>
  </r>
  <r>
    <x v="233"/>
    <x v="0"/>
    <s v="us-gaap/2025"/>
    <n v="20251231"/>
    <n v="0"/>
    <s v="USD"/>
    <s v=""/>
    <s v=""/>
    <n v="4950720000"/>
  </r>
  <r>
    <x v="228"/>
    <x v="4"/>
    <s v="us-gaap/2025"/>
    <n v="20251231"/>
    <n v="4"/>
    <s v="USD"/>
    <s v=""/>
    <s v=""/>
    <n v="61606000"/>
  </r>
  <r>
    <x v="224"/>
    <x v="5"/>
    <s v="us-gaap/2025"/>
    <n v="20251231"/>
    <n v="0"/>
    <s v="USD"/>
    <s v=""/>
    <s v=""/>
    <n v="265560000"/>
  </r>
  <r>
    <x v="244"/>
    <x v="4"/>
    <s v="us-gaap/2025"/>
    <n v="20251231"/>
    <n v="4"/>
    <s v="USD"/>
    <s v=""/>
    <s v=""/>
    <n v="390853000"/>
  </r>
  <r>
    <x v="226"/>
    <x v="0"/>
    <s v="us-gaap/2025"/>
    <n v="20251231"/>
    <n v="0"/>
    <s v="USD"/>
    <s v=""/>
    <s v=""/>
    <n v="31256165000"/>
  </r>
  <r>
    <x v="211"/>
    <x v="3"/>
    <s v="us-gaap/2025"/>
    <n v="20251231"/>
    <n v="4"/>
    <s v="USD"/>
    <s v=""/>
    <s v=""/>
    <n v="5.73"/>
  </r>
  <r>
    <x v="245"/>
    <x v="1"/>
    <s v="us-gaap/2024"/>
    <n v="20251231"/>
    <n v="0"/>
    <s v="USD"/>
    <s v=""/>
    <s v=""/>
    <n v="2593677000"/>
  </r>
  <r>
    <x v="245"/>
    <x v="3"/>
    <s v="us-gaap/2024"/>
    <n v="20251231"/>
    <n v="4"/>
    <s v="USD"/>
    <s v=""/>
    <s v=""/>
    <n v="2.1800000000000002"/>
  </r>
  <r>
    <x v="245"/>
    <x v="4"/>
    <s v="us-gaap/2024"/>
    <n v="20251231"/>
    <n v="4"/>
    <s v="USD"/>
    <s v=""/>
    <s v=""/>
    <n v="23931000"/>
  </r>
  <r>
    <x v="235"/>
    <x v="0"/>
    <s v="us-gaap/2025"/>
    <n v="20251231"/>
    <n v="0"/>
    <s v="USD"/>
    <s v=""/>
    <s v=""/>
    <n v="1380009440"/>
  </r>
  <r>
    <x v="246"/>
    <x v="3"/>
    <s v="us-gaap/2025"/>
    <n v="20251231"/>
    <n v="4"/>
    <s v="USD"/>
    <s v=""/>
    <s v=""/>
    <n v="1.26"/>
  </r>
  <r>
    <x v="246"/>
    <x v="2"/>
    <s v="us-gaap/2025"/>
    <n v="20251231"/>
    <n v="4"/>
    <s v="USD"/>
    <s v=""/>
    <s v=""/>
    <n v="597428000"/>
  </r>
  <r>
    <x v="246"/>
    <x v="0"/>
    <s v="us-gaap/2025"/>
    <n v="20251231"/>
    <n v="0"/>
    <s v="USD"/>
    <s v=""/>
    <s v=""/>
    <n v="8838216000"/>
  </r>
  <r>
    <x v="246"/>
    <x v="4"/>
    <s v="us-gaap/2025"/>
    <n v="20251231"/>
    <n v="4"/>
    <s v="USD"/>
    <s v=""/>
    <s v=""/>
    <n v="52417000"/>
  </r>
  <r>
    <x v="246"/>
    <x v="5"/>
    <s v="us-gaap/2025"/>
    <n v="20251231"/>
    <n v="0"/>
    <s v="USD"/>
    <s v=""/>
    <s v=""/>
    <n v="938802000"/>
  </r>
  <r>
    <x v="247"/>
    <x v="3"/>
    <s v="us-gaap/2025"/>
    <n v="20251231"/>
    <n v="4"/>
    <s v="USD"/>
    <s v=""/>
    <s v=""/>
    <n v="1.93"/>
  </r>
  <r>
    <x v="229"/>
    <x v="4"/>
    <s v="us-gaap/2025"/>
    <n v="20251231"/>
    <n v="4"/>
    <s v="USD"/>
    <s v=""/>
    <s v=""/>
    <n v="47830000"/>
  </r>
  <r>
    <x v="237"/>
    <x v="6"/>
    <s v="us-gaap/2025"/>
    <n v="20251231"/>
    <n v="4"/>
    <s v="USD"/>
    <s v=""/>
    <s v=""/>
    <n v="85794000"/>
  </r>
  <r>
    <x v="237"/>
    <x v="0"/>
    <s v="us-gaap/2025"/>
    <n v="20251231"/>
    <n v="0"/>
    <s v="USD"/>
    <s v=""/>
    <s v=""/>
    <n v="1212689000"/>
  </r>
  <r>
    <x v="233"/>
    <x v="2"/>
    <s v="us-gaap/2025"/>
    <n v="20251231"/>
    <n v="4"/>
    <s v="USD"/>
    <s v=""/>
    <s v=""/>
    <n v="303734000"/>
  </r>
  <r>
    <x v="240"/>
    <x v="4"/>
    <s v="us-gaap/2025"/>
    <n v="20251231"/>
    <n v="4"/>
    <s v="USD"/>
    <s v=""/>
    <s v=""/>
    <n v="122622000"/>
  </r>
  <r>
    <x v="248"/>
    <x v="3"/>
    <s v="us-gaap/2025"/>
    <n v="20251231"/>
    <n v="4"/>
    <s v="USD"/>
    <s v=""/>
    <s v=""/>
    <n v="3.74"/>
  </r>
  <r>
    <x v="248"/>
    <x v="5"/>
    <s v="us-gaap/2025"/>
    <n v="20251231"/>
    <n v="0"/>
    <s v="USD"/>
    <s v=""/>
    <s v=""/>
    <n v="157118000"/>
  </r>
  <r>
    <x v="238"/>
    <x v="2"/>
    <s v="us-gaap/2025"/>
    <n v="20251231"/>
    <n v="4"/>
    <s v="USD"/>
    <s v=""/>
    <s v=""/>
    <n v="60879859"/>
  </r>
  <r>
    <x v="238"/>
    <x v="0"/>
    <s v="us-gaap/2025"/>
    <n v="20251231"/>
    <n v="0"/>
    <s v="USD"/>
    <s v=""/>
    <s v=""/>
    <n v="1173871968"/>
  </r>
  <r>
    <x v="249"/>
    <x v="1"/>
    <s v="us-gaap/2025"/>
    <n v="20251231"/>
    <n v="0"/>
    <s v="USD"/>
    <s v=""/>
    <s v=""/>
    <n v="4033386000"/>
  </r>
  <r>
    <x v="237"/>
    <x v="3"/>
    <s v="us-gaap/2025"/>
    <n v="20251231"/>
    <n v="4"/>
    <s v="USD"/>
    <s v=""/>
    <s v=""/>
    <n v="-5.93"/>
  </r>
  <r>
    <x v="234"/>
    <x v="3"/>
    <s v="us-gaap/2025"/>
    <n v="20251231"/>
    <n v="4"/>
    <s v="USD"/>
    <s v=""/>
    <s v=""/>
    <n v="3.08"/>
  </r>
  <r>
    <x v="249"/>
    <x v="5"/>
    <s v="us-gaap/2025"/>
    <n v="20251231"/>
    <n v="0"/>
    <s v="USD"/>
    <s v=""/>
    <s v=""/>
    <n v="576586000"/>
  </r>
  <r>
    <x v="240"/>
    <x v="5"/>
    <s v="us-gaap/2025"/>
    <n v="20251231"/>
    <n v="0"/>
    <s v="USD"/>
    <s v=""/>
    <s v=""/>
    <n v="1948165000"/>
  </r>
  <r>
    <x v="235"/>
    <x v="3"/>
    <s v="us-gaap/2025"/>
    <n v="20251231"/>
    <n v="4"/>
    <s v="USD"/>
    <s v=""/>
    <s v=""/>
    <n v="1.2"/>
  </r>
  <r>
    <x v="244"/>
    <x v="1"/>
    <s v="us-gaap/2025"/>
    <n v="20251231"/>
    <n v="0"/>
    <s v="USD"/>
    <s v=""/>
    <s v=""/>
    <n v="20751978000"/>
  </r>
  <r>
    <x v="244"/>
    <x v="5"/>
    <s v="us-gaap/2025"/>
    <n v="20251231"/>
    <n v="0"/>
    <s v="USD"/>
    <s v=""/>
    <s v=""/>
    <n v="3783977000"/>
  </r>
  <r>
    <x v="248"/>
    <x v="1"/>
    <s v="us-gaap/2025"/>
    <n v="20251231"/>
    <n v="0"/>
    <s v="USD"/>
    <s v=""/>
    <s v=""/>
    <n v="1702148000"/>
  </r>
  <r>
    <x v="238"/>
    <x v="1"/>
    <s v="us-gaap/2025"/>
    <n v="20251231"/>
    <n v="0"/>
    <s v="USD"/>
    <s v=""/>
    <s v=""/>
    <n v="1287558946"/>
  </r>
  <r>
    <x v="239"/>
    <x v="2"/>
    <s v="us-gaap/2025"/>
    <n v="20251231"/>
    <n v="4"/>
    <s v="USD"/>
    <s v=""/>
    <s v=""/>
    <n v="67750000"/>
  </r>
  <r>
    <x v="236"/>
    <x v="6"/>
    <s v="us-gaap/2025"/>
    <n v="20251231"/>
    <n v="4"/>
    <s v="USD"/>
    <s v=""/>
    <s v=""/>
    <n v="2934000"/>
  </r>
  <r>
    <x v="249"/>
    <x v="3"/>
    <s v="us-gaap/2025"/>
    <n v="20251231"/>
    <n v="4"/>
    <s v="USD"/>
    <s v=""/>
    <s v=""/>
    <n v="1.95"/>
  </r>
  <r>
    <x v="218"/>
    <x v="3"/>
    <s v="us-gaap/2025"/>
    <n v="20251231"/>
    <n v="4"/>
    <s v="USD"/>
    <s v=""/>
    <s v=""/>
    <n v="2.42"/>
  </r>
  <r>
    <x v="168"/>
    <x v="1"/>
    <s v="us-gaap/2025"/>
    <n v="20251231"/>
    <n v="0"/>
    <s v="USD"/>
    <s v=""/>
    <s v=""/>
    <n v="1426636000"/>
  </r>
  <r>
    <x v="240"/>
    <x v="0"/>
    <s v="us-gaap/2025"/>
    <n v="20251231"/>
    <n v="0"/>
    <s v="USD"/>
    <s v=""/>
    <s v=""/>
    <n v="14352034000"/>
  </r>
  <r>
    <x v="242"/>
    <x v="4"/>
    <s v="us-gaap/2025"/>
    <n v="20251231"/>
    <n v="4"/>
    <s v="USD"/>
    <s v=""/>
    <s v=""/>
    <n v="97936000"/>
  </r>
  <r>
    <x v="248"/>
    <x v="0"/>
    <s v="us-gaap/2025"/>
    <n v="20251231"/>
    <n v="0"/>
    <s v="USD"/>
    <s v=""/>
    <s v=""/>
    <n v="1545030000"/>
  </r>
  <r>
    <x v="239"/>
    <x v="1"/>
    <s v="us-gaap/2025"/>
    <n v="20251231"/>
    <n v="0"/>
    <s v="USD"/>
    <s v=""/>
    <s v=""/>
    <n v="1373757000"/>
  </r>
  <r>
    <x v="245"/>
    <x v="0"/>
    <s v="us-gaap/2024"/>
    <n v="20251231"/>
    <n v="0"/>
    <s v="USD"/>
    <s v=""/>
    <s v=""/>
    <n v="2255123000"/>
  </r>
  <r>
    <x v="250"/>
    <x v="1"/>
    <s v="us-gaap/2025"/>
    <n v="20251231"/>
    <n v="0"/>
    <s v="USD"/>
    <s v=""/>
    <s v=""/>
    <n v="4851922000"/>
  </r>
  <r>
    <x v="171"/>
    <x v="1"/>
    <s v="us-gaap/2025"/>
    <n v="20251231"/>
    <n v="0"/>
    <s v="USD"/>
    <s v=""/>
    <s v=""/>
    <n v="4403494000"/>
  </r>
  <r>
    <x v="251"/>
    <x v="3"/>
    <s v="us-gaap/2025"/>
    <n v="20251231"/>
    <n v="4"/>
    <s v="USD"/>
    <s v=""/>
    <s v=""/>
    <n v="3.44"/>
  </r>
  <r>
    <x v="252"/>
    <x v="1"/>
    <s v="us-gaap/2025"/>
    <n v="20251231"/>
    <n v="0"/>
    <s v="USD"/>
    <s v=""/>
    <s v=""/>
    <n v="977135000"/>
  </r>
  <r>
    <x v="253"/>
    <x v="5"/>
    <s v="us-gaap/2025"/>
    <n v="20251231"/>
    <n v="0"/>
    <s v="USD"/>
    <s v=""/>
    <s v=""/>
    <n v="544184000"/>
  </r>
  <r>
    <x v="227"/>
    <x v="0"/>
    <s v="us-gaap/2025"/>
    <n v="20251231"/>
    <n v="0"/>
    <s v="USD"/>
    <s v=""/>
    <s v=""/>
    <n v="1390156000"/>
  </r>
  <r>
    <x v="227"/>
    <x v="5"/>
    <s v="us-gaap/2025"/>
    <n v="20251231"/>
    <n v="0"/>
    <s v="USD"/>
    <s v=""/>
    <s v=""/>
    <n v="157537000"/>
  </r>
  <r>
    <x v="243"/>
    <x v="4"/>
    <s v="us-gaap/2025"/>
    <n v="20251231"/>
    <n v="4"/>
    <s v="USD"/>
    <s v=""/>
    <s v=""/>
    <n v="25635000"/>
  </r>
  <r>
    <x v="252"/>
    <x v="2"/>
    <s v="us-gaap/2025"/>
    <n v="20251231"/>
    <n v="4"/>
    <s v="USD"/>
    <s v=""/>
    <s v=""/>
    <n v="92478000"/>
  </r>
  <r>
    <x v="246"/>
    <x v="1"/>
    <s v="us-gaap/2025"/>
    <n v="20251231"/>
    <n v="0"/>
    <s v="USD"/>
    <s v=""/>
    <s v=""/>
    <n v="9777018000"/>
  </r>
  <r>
    <x v="253"/>
    <x v="3"/>
    <s v="us-gaap/2025"/>
    <n v="20251231"/>
    <n v="4"/>
    <s v="USD"/>
    <s v=""/>
    <s v=""/>
    <n v="2.66"/>
  </r>
  <r>
    <x v="249"/>
    <x v="2"/>
    <s v="us-gaap/2025"/>
    <n v="20251231"/>
    <n v="4"/>
    <s v="USD"/>
    <s v=""/>
    <s v=""/>
    <n v="225980000"/>
  </r>
  <r>
    <x v="247"/>
    <x v="1"/>
    <s v="us-gaap/2025"/>
    <n v="20251231"/>
    <n v="0"/>
    <s v="USD"/>
    <s v=""/>
    <s v=""/>
    <n v="2561995000"/>
  </r>
  <r>
    <x v="254"/>
    <x v="1"/>
    <s v="us-gaap/2025"/>
    <n v="20251231"/>
    <n v="0"/>
    <s v="USD"/>
    <s v=""/>
    <s v=""/>
    <n v="909700000"/>
  </r>
  <r>
    <x v="172"/>
    <x v="1"/>
    <s v="us-gaap/2025"/>
    <n v="20251231"/>
    <n v="0"/>
    <s v="USD"/>
    <s v=""/>
    <s v=""/>
    <n v="1545367000"/>
  </r>
  <r>
    <x v="253"/>
    <x v="0"/>
    <s v="us-gaap/2025"/>
    <n v="20251231"/>
    <n v="0"/>
    <s v="USD"/>
    <s v=""/>
    <s v=""/>
    <n v="4224216000"/>
  </r>
  <r>
    <x v="249"/>
    <x v="4"/>
    <s v="us-gaap/2025"/>
    <n v="20251231"/>
    <n v="4"/>
    <s v="USD"/>
    <s v=""/>
    <s v=""/>
    <n v="63058000"/>
  </r>
  <r>
    <x v="251"/>
    <x v="1"/>
    <s v="us-gaap/2025"/>
    <n v="20251231"/>
    <n v="0"/>
    <s v="USD"/>
    <s v=""/>
    <s v=""/>
    <n v="8869836000"/>
  </r>
  <r>
    <x v="254"/>
    <x v="5"/>
    <s v="us-gaap/2025"/>
    <n v="20251231"/>
    <n v="0"/>
    <s v="USD"/>
    <s v=""/>
    <s v=""/>
    <n v="82855000"/>
  </r>
  <r>
    <x v="221"/>
    <x v="2"/>
    <s v="us-gaap/2025"/>
    <n v="20251231"/>
    <n v="4"/>
    <s v="USD"/>
    <s v=""/>
    <s v=""/>
    <n v="8386000000"/>
  </r>
  <r>
    <x v="221"/>
    <x v="4"/>
    <s v="us-gaap/2025"/>
    <n v="20251231"/>
    <n v="4"/>
    <s v="USD"/>
    <s v=""/>
    <s v=""/>
    <n v="1829000000"/>
  </r>
  <r>
    <x v="250"/>
    <x v="0"/>
    <s v="us-gaap/2025"/>
    <n v="20251231"/>
    <n v="0"/>
    <s v="USD"/>
    <s v=""/>
    <s v=""/>
    <n v="4432225000"/>
  </r>
  <r>
    <x v="252"/>
    <x v="5"/>
    <s v="us-gaap/2025"/>
    <n v="20251231"/>
    <n v="0"/>
    <s v="USD"/>
    <s v=""/>
    <s v=""/>
    <n v="193195000"/>
  </r>
  <r>
    <x v="175"/>
    <x v="4"/>
    <s v="us-gaap/2025"/>
    <n v="20251231"/>
    <n v="4"/>
    <s v="USD"/>
    <s v=""/>
    <s v=""/>
    <n v="2156000000"/>
  </r>
  <r>
    <x v="251"/>
    <x v="2"/>
    <s v="us-gaap/2025"/>
    <n v="20251231"/>
    <n v="4"/>
    <s v="USD"/>
    <s v=""/>
    <s v=""/>
    <n v="422229000"/>
  </r>
  <r>
    <x v="251"/>
    <x v="4"/>
    <s v="us-gaap/2025"/>
    <n v="20251231"/>
    <n v="4"/>
    <s v="USD"/>
    <s v=""/>
    <s v=""/>
    <n v="104447000"/>
  </r>
  <r>
    <x v="255"/>
    <x v="6"/>
    <s v="us-gaap/2025"/>
    <n v="20251231"/>
    <n v="4"/>
    <s v="USD"/>
    <s v=""/>
    <s v=""/>
    <n v="444993000"/>
  </r>
  <r>
    <x v="223"/>
    <x v="2"/>
    <s v="us-gaap/2025"/>
    <n v="20251231"/>
    <n v="4"/>
    <s v="USD"/>
    <s v=""/>
    <s v=""/>
    <n v="836374000"/>
  </r>
  <r>
    <x v="223"/>
    <x v="5"/>
    <s v="us-gaap/2025"/>
    <n v="20251231"/>
    <n v="0"/>
    <s v="USD"/>
    <s v=""/>
    <s v=""/>
    <n v="2712662000"/>
  </r>
  <r>
    <x v="256"/>
    <x v="0"/>
    <s v="us-gaap/2025"/>
    <n v="20251231"/>
    <n v="0"/>
    <s v="USD"/>
    <s v=""/>
    <s v=""/>
    <n v="50662338000"/>
  </r>
  <r>
    <x v="226"/>
    <x v="1"/>
    <s v="us-gaap/2025"/>
    <n v="20251231"/>
    <n v="0"/>
    <s v="USD"/>
    <s v=""/>
    <s v=""/>
    <n v="34797442000"/>
  </r>
  <r>
    <x v="250"/>
    <x v="3"/>
    <s v="us-gaap/2025"/>
    <n v="20251231"/>
    <n v="4"/>
    <s v="USD"/>
    <s v=""/>
    <s v=""/>
    <n v="1.38"/>
  </r>
  <r>
    <x v="250"/>
    <x v="4"/>
    <s v="us-gaap/2025"/>
    <n v="20251231"/>
    <n v="4"/>
    <s v="USD"/>
    <s v=""/>
    <s v=""/>
    <n v="31362000"/>
  </r>
  <r>
    <x v="254"/>
    <x v="0"/>
    <s v="us-gaap/2025"/>
    <n v="20251231"/>
    <n v="0"/>
    <s v="USD"/>
    <s v=""/>
    <s v=""/>
    <n v="826845000"/>
  </r>
  <r>
    <x v="230"/>
    <x v="1"/>
    <s v="us-gaap/2025"/>
    <n v="20251231"/>
    <n v="0"/>
    <s v="USD"/>
    <s v=""/>
    <s v=""/>
    <n v="3228126000"/>
  </r>
  <r>
    <x v="252"/>
    <x v="3"/>
    <s v="us-gaap/2025"/>
    <n v="20251231"/>
    <n v="4"/>
    <s v="USD"/>
    <s v=""/>
    <s v=""/>
    <n v="1.2"/>
  </r>
  <r>
    <x v="234"/>
    <x v="0"/>
    <s v="us-gaap/2025"/>
    <n v="20251231"/>
    <n v="0"/>
    <s v="USD"/>
    <s v=""/>
    <s v=""/>
    <n v="1581180000"/>
  </r>
  <r>
    <x v="244"/>
    <x v="0"/>
    <s v="us-gaap/2025"/>
    <n v="20251231"/>
    <n v="0"/>
    <s v="USD"/>
    <s v=""/>
    <s v=""/>
    <n v="16968001000"/>
  </r>
  <r>
    <x v="236"/>
    <x v="1"/>
    <s v="us-gaap/2025"/>
    <n v="20251231"/>
    <n v="0"/>
    <s v="USD"/>
    <s v=""/>
    <s v=""/>
    <n v="1087840000"/>
  </r>
  <r>
    <x v="236"/>
    <x v="2"/>
    <s v="us-gaap/2025"/>
    <n v="20251231"/>
    <n v="4"/>
    <s v="USD"/>
    <s v=""/>
    <s v=""/>
    <n v="47843000"/>
  </r>
  <r>
    <x v="236"/>
    <x v="4"/>
    <s v="us-gaap/2025"/>
    <n v="20251231"/>
    <n v="4"/>
    <s v="USD"/>
    <s v=""/>
    <s v=""/>
    <n v="-12710000"/>
  </r>
  <r>
    <x v="255"/>
    <x v="1"/>
    <s v="us-gaap/2025"/>
    <n v="20251231"/>
    <n v="0"/>
    <s v="USD"/>
    <s v=""/>
    <s v=""/>
    <n v="7920626000"/>
  </r>
  <r>
    <x v="254"/>
    <x v="4"/>
    <s v="us-gaap/2025"/>
    <n v="20251231"/>
    <n v="4"/>
    <s v="USD"/>
    <s v=""/>
    <s v=""/>
    <n v="10098000"/>
  </r>
  <r>
    <x v="237"/>
    <x v="1"/>
    <s v="us-gaap/2025"/>
    <n v="20251231"/>
    <n v="0"/>
    <s v="USD"/>
    <s v=""/>
    <s v=""/>
    <n v="1300258000"/>
  </r>
  <r>
    <x v="254"/>
    <x v="3"/>
    <s v="us-gaap/2025"/>
    <n v="20251231"/>
    <n v="4"/>
    <s v="USD"/>
    <s v=""/>
    <s v=""/>
    <n v="0.43"/>
  </r>
  <r>
    <x v="180"/>
    <x v="0"/>
    <s v="us-gaap/2025"/>
    <n v="20251231"/>
    <n v="0"/>
    <s v="USD"/>
    <s v=""/>
    <s v=""/>
    <n v="3204450000"/>
  </r>
  <r>
    <x v="202"/>
    <x v="0"/>
    <s v="us-gaap/2025"/>
    <n v="20251231"/>
    <n v="0"/>
    <s v="USD"/>
    <s v=""/>
    <s v=""/>
    <n v="2891745000"/>
  </r>
  <r>
    <x v="202"/>
    <x v="4"/>
    <s v="us-gaap/2025"/>
    <n v="20251231"/>
    <n v="4"/>
    <s v="USD"/>
    <s v=""/>
    <s v=""/>
    <n v="37453000"/>
  </r>
  <r>
    <x v="202"/>
    <x v="5"/>
    <s v="us-gaap/2025"/>
    <n v="20251231"/>
    <n v="0"/>
    <s v="USD"/>
    <s v=""/>
    <s v=""/>
    <n v="390026000"/>
  </r>
  <r>
    <x v="248"/>
    <x v="4"/>
    <s v="us-gaap/2025"/>
    <n v="20251231"/>
    <n v="4"/>
    <s v="USD"/>
    <s v=""/>
    <s v=""/>
    <n v="19830000"/>
  </r>
  <r>
    <x v="238"/>
    <x v="4"/>
    <s v="us-gaap/2025"/>
    <n v="20251231"/>
    <n v="4"/>
    <s v="USD"/>
    <s v=""/>
    <s v=""/>
    <n v="16967981"/>
  </r>
  <r>
    <x v="239"/>
    <x v="0"/>
    <s v="us-gaap/2025"/>
    <n v="20251231"/>
    <n v="0"/>
    <s v="USD"/>
    <s v=""/>
    <s v=""/>
    <n v="1268969000"/>
  </r>
  <r>
    <x v="192"/>
    <x v="1"/>
    <s v="us-gaap/2025"/>
    <n v="20251231"/>
    <n v="0"/>
    <s v="USD"/>
    <s v=""/>
    <s v=""/>
    <n v="14002700000"/>
  </r>
  <r>
    <x v="192"/>
    <x v="3"/>
    <s v="us-gaap/2025"/>
    <n v="20251231"/>
    <n v="4"/>
    <s v="USD"/>
    <s v=""/>
    <s v=""/>
    <n v="1.64"/>
  </r>
  <r>
    <x v="192"/>
    <x v="4"/>
    <s v="us-gaap/2025"/>
    <n v="20251231"/>
    <n v="4"/>
    <s v="USD"/>
    <s v=""/>
    <s v=""/>
    <n v="80443000"/>
  </r>
  <r>
    <x v="241"/>
    <x v="1"/>
    <s v="us-gaap/2025"/>
    <n v="20251231"/>
    <n v="0"/>
    <s v="USD"/>
    <s v=""/>
    <s v=""/>
    <n v="2292256000"/>
  </r>
  <r>
    <x v="241"/>
    <x v="0"/>
    <s v="us-gaap/2025"/>
    <n v="20251231"/>
    <n v="0"/>
    <s v="USD"/>
    <s v=""/>
    <s v=""/>
    <n v="2038656000"/>
  </r>
  <r>
    <x v="241"/>
    <x v="4"/>
    <s v="us-gaap/2025"/>
    <n v="20251231"/>
    <n v="4"/>
    <s v="USD"/>
    <s v=""/>
    <s v=""/>
    <n v="22057000"/>
  </r>
  <r>
    <x v="204"/>
    <x v="4"/>
    <s v="us-gaap/2025"/>
    <n v="20251231"/>
    <n v="4"/>
    <s v="USD"/>
    <s v=""/>
    <s v=""/>
    <n v="48794000"/>
  </r>
  <r>
    <x v="185"/>
    <x v="2"/>
    <s v="us-gaap/2025"/>
    <n v="20251231"/>
    <n v="4"/>
    <s v="USD"/>
    <s v=""/>
    <s v=""/>
    <n v="108411000"/>
  </r>
  <r>
    <x v="210"/>
    <x v="0"/>
    <s v="us-gaap/2025"/>
    <n v="20251231"/>
    <n v="0"/>
    <s v="USD"/>
    <s v=""/>
    <s v=""/>
    <n v="3684884000"/>
  </r>
  <r>
    <x v="255"/>
    <x v="5"/>
    <s v="us-gaap/2025"/>
    <n v="20251231"/>
    <n v="0"/>
    <s v="USD"/>
    <s v=""/>
    <s v=""/>
    <n v="854649000"/>
  </r>
  <r>
    <x v="196"/>
    <x v="5"/>
    <s v="us-gaap/2025"/>
    <n v="20251231"/>
    <n v="0"/>
    <s v="USD"/>
    <s v=""/>
    <s v=""/>
    <n v="207894000"/>
  </r>
  <r>
    <x v="205"/>
    <x v="1"/>
    <s v="us-gaap/2025"/>
    <n v="20251231"/>
    <n v="0"/>
    <s v="USD"/>
    <s v=""/>
    <s v=""/>
    <n v="2212669000"/>
  </r>
  <r>
    <x v="205"/>
    <x v="5"/>
    <s v="us-gaap/2025"/>
    <n v="20251231"/>
    <n v="0"/>
    <s v="USD"/>
    <s v=""/>
    <s v=""/>
    <n v="218591000"/>
  </r>
  <r>
    <x v="198"/>
    <x v="4"/>
    <s v="us-gaap/2025"/>
    <n v="20251231"/>
    <n v="4"/>
    <s v="USD"/>
    <s v=""/>
    <s v=""/>
    <n v="-19553000"/>
  </r>
  <r>
    <x v="188"/>
    <x v="0"/>
    <s v="us-gaap/2025"/>
    <n v="20251231"/>
    <n v="0"/>
    <s v="USD"/>
    <s v=""/>
    <s v=""/>
    <n v="1185639000"/>
  </r>
  <r>
    <x v="189"/>
    <x v="1"/>
    <s v="us-gaap/2025"/>
    <n v="20251231"/>
    <n v="0"/>
    <s v="USD"/>
    <s v=""/>
    <s v=""/>
    <n v="1618084000"/>
  </r>
  <r>
    <x v="199"/>
    <x v="0"/>
    <s v="us-gaap/2025"/>
    <n v="20251231"/>
    <n v="0"/>
    <s v="USD"/>
    <s v=""/>
    <s v=""/>
    <n v="1851782000"/>
  </r>
  <r>
    <x v="245"/>
    <x v="2"/>
    <s v="us-gaap/2024"/>
    <n v="20251231"/>
    <n v="4"/>
    <s v="USD"/>
    <s v=""/>
    <s v=""/>
    <n v="135389000"/>
  </r>
  <r>
    <x v="256"/>
    <x v="2"/>
    <s v="us-gaap/2025"/>
    <n v="20251231"/>
    <n v="4"/>
    <s v="USD"/>
    <s v=""/>
    <s v=""/>
    <n v="2795632000"/>
  </r>
  <r>
    <x v="212"/>
    <x v="3"/>
    <s v="us-gaap/2025"/>
    <n v="20251231"/>
    <n v="4"/>
    <s v="USD"/>
    <s v=""/>
    <s v=""/>
    <n v="0.93"/>
  </r>
  <r>
    <x v="212"/>
    <x v="2"/>
    <s v="us-gaap/2025"/>
    <n v="20251231"/>
    <n v="4"/>
    <s v="USD"/>
    <s v=""/>
    <s v=""/>
    <n v="749668000"/>
  </r>
  <r>
    <x v="212"/>
    <x v="0"/>
    <s v="us-gaap/2025"/>
    <n v="20251231"/>
    <n v="0"/>
    <s v="USD"/>
    <s v=""/>
    <s v=""/>
    <n v="14876193000"/>
  </r>
  <r>
    <x v="209"/>
    <x v="1"/>
    <s v="us-gaap/2025"/>
    <n v="20251231"/>
    <n v="0"/>
    <s v="USD"/>
    <s v=""/>
    <s v=""/>
    <n v="10806594000"/>
  </r>
  <r>
    <x v="209"/>
    <x v="0"/>
    <s v="us-gaap/2025"/>
    <n v="20251231"/>
    <n v="0"/>
    <s v="USD"/>
    <s v=""/>
    <s v=""/>
    <n v="9137940000"/>
  </r>
  <r>
    <x v="209"/>
    <x v="4"/>
    <s v="us-gaap/2025"/>
    <n v="20251231"/>
    <n v="4"/>
    <s v="USD"/>
    <s v=""/>
    <s v=""/>
    <n v="102872000"/>
  </r>
  <r>
    <x v="253"/>
    <x v="6"/>
    <s v="us-gaap/2025"/>
    <n v="20251231"/>
    <n v="4"/>
    <s v="USD"/>
    <s v=""/>
    <s v=""/>
    <n v="220828000"/>
  </r>
  <r>
    <x v="247"/>
    <x v="2"/>
    <s v="us-gaap/2025"/>
    <n v="20251231"/>
    <n v="4"/>
    <s v="USD"/>
    <s v=""/>
    <s v=""/>
    <n v="166314000"/>
  </r>
  <r>
    <x v="247"/>
    <x v="5"/>
    <s v="us-gaap/2025"/>
    <n v="20251231"/>
    <n v="0"/>
    <s v="USD"/>
    <s v=""/>
    <s v=""/>
    <n v="199716000"/>
  </r>
  <r>
    <x v="21"/>
    <x v="1"/>
    <s v="us-gaap/2025"/>
    <n v="20251231"/>
    <n v="0"/>
    <s v="USD"/>
    <s v=""/>
    <s v=""/>
    <n v="9649630000"/>
  </r>
  <r>
    <x v="50"/>
    <x v="3"/>
    <s v="us-gaap/2025"/>
    <n v="20251231"/>
    <n v="4"/>
    <s v="USD"/>
    <s v=""/>
    <s v=""/>
    <n v="6.02"/>
  </r>
  <r>
    <x v="50"/>
    <x v="2"/>
    <s v="us-gaap/2025"/>
    <n v="20251231"/>
    <n v="4"/>
    <s v="USD"/>
    <s v=""/>
    <s v=""/>
    <n v="1394525000"/>
  </r>
  <r>
    <x v="50"/>
    <x v="5"/>
    <s v="us-gaap/2025"/>
    <n v="20251231"/>
    <n v="0"/>
    <s v="USD"/>
    <s v=""/>
    <s v=""/>
    <n v="4076028000"/>
  </r>
  <r>
    <x v="22"/>
    <x v="1"/>
    <s v="us-gaap/2025"/>
    <n v="20251231"/>
    <n v="0"/>
    <s v="USD"/>
    <s v=""/>
    <s v=""/>
    <n v="32118400000"/>
  </r>
  <r>
    <x v="22"/>
    <x v="5"/>
    <s v="us-gaap/2025"/>
    <n v="20251231"/>
    <n v="0"/>
    <s v="USD"/>
    <s v=""/>
    <s v=""/>
    <n v="3490447000"/>
  </r>
  <r>
    <x v="36"/>
    <x v="2"/>
    <s v="us-gaap/2025"/>
    <n v="20251231"/>
    <n v="4"/>
    <s v="USD"/>
    <s v=""/>
    <s v=""/>
    <n v="403074000"/>
  </r>
  <r>
    <x v="25"/>
    <x v="2"/>
    <s v="us-gaap/2025"/>
    <n v="20251231"/>
    <n v="4"/>
    <s v="USD"/>
    <s v=""/>
    <s v=""/>
    <n v="362777000"/>
  </r>
  <r>
    <x v="25"/>
    <x v="5"/>
    <s v="us-gaap/2025"/>
    <n v="20251231"/>
    <n v="0"/>
    <s v="USD"/>
    <s v=""/>
    <s v=""/>
    <n v="688251000"/>
  </r>
  <r>
    <x v="39"/>
    <x v="1"/>
    <s v="us-gaap/2025"/>
    <n v="20251231"/>
    <n v="0"/>
    <s v="USD"/>
    <s v=""/>
    <s v=""/>
    <n v="21129379000"/>
  </r>
  <r>
    <x v="39"/>
    <x v="3"/>
    <s v="us-gaap/2025"/>
    <n v="20251231"/>
    <n v="4"/>
    <s v="USD"/>
    <s v=""/>
    <s v=""/>
    <n v="2.68"/>
  </r>
  <r>
    <x v="40"/>
    <x v="2"/>
    <s v="us-gaap/2025"/>
    <n v="20251231"/>
    <n v="4"/>
    <s v="USD"/>
    <s v=""/>
    <s v=""/>
    <n v="149952000"/>
  </r>
  <r>
    <x v="40"/>
    <x v="6"/>
    <s v="us-gaap/2025"/>
    <n v="20251231"/>
    <n v="4"/>
    <s v="USD"/>
    <s v=""/>
    <s v=""/>
    <n v="19436000"/>
  </r>
  <r>
    <x v="41"/>
    <x v="2"/>
    <s v="us-gaap/2025"/>
    <n v="20251231"/>
    <n v="4"/>
    <s v="USD"/>
    <s v=""/>
    <s v=""/>
    <n v="924792000"/>
  </r>
  <r>
    <x v="41"/>
    <x v="4"/>
    <s v="us-gaap/2025"/>
    <n v="20251231"/>
    <n v="4"/>
    <s v="USD"/>
    <s v=""/>
    <s v=""/>
    <n v="226001000"/>
  </r>
  <r>
    <x v="45"/>
    <x v="4"/>
    <s v="us-gaap/2025"/>
    <n v="20251231"/>
    <n v="4"/>
    <s v="USD"/>
    <s v=""/>
    <s v=""/>
    <n v="152302000"/>
  </r>
  <r>
    <x v="26"/>
    <x v="1"/>
    <s v="us-gaap/2025"/>
    <n v="20251231"/>
    <n v="0"/>
    <s v="USD"/>
    <s v=""/>
    <s v=""/>
    <n v="573572000000"/>
  </r>
  <r>
    <x v="250"/>
    <x v="2"/>
    <s v="us-gaap/2025"/>
    <n v="20251231"/>
    <n v="4"/>
    <s v="USD"/>
    <s v=""/>
    <s v=""/>
    <n v="232222000"/>
  </r>
  <r>
    <x v="27"/>
    <x v="1"/>
    <s v="us-gaap/2025"/>
    <n v="20251231"/>
    <n v="0"/>
    <s v="USD"/>
    <s v=""/>
    <s v=""/>
    <n v="64132725000"/>
  </r>
  <r>
    <x v="27"/>
    <x v="0"/>
    <s v="us-gaap/2025"/>
    <n v="20251231"/>
    <n v="0"/>
    <s v="USD"/>
    <s v=""/>
    <s v=""/>
    <n v="56325027000"/>
  </r>
  <r>
    <x v="28"/>
    <x v="2"/>
    <s v="us-gaap/2025"/>
    <n v="20251231"/>
    <n v="4"/>
    <s v="USD"/>
    <s v=""/>
    <s v=""/>
    <n v="420089000"/>
  </r>
  <r>
    <x v="28"/>
    <x v="0"/>
    <s v="us-gaap/2025"/>
    <n v="20251231"/>
    <n v="0"/>
    <s v="USD"/>
    <s v=""/>
    <s v=""/>
    <n v="7226455000"/>
  </r>
  <r>
    <x v="47"/>
    <x v="3"/>
    <s v="us-gaap/2025"/>
    <n v="20251231"/>
    <n v="4"/>
    <s v="USD"/>
    <s v=""/>
    <s v=""/>
    <n v="2.09"/>
  </r>
  <r>
    <x v="48"/>
    <x v="5"/>
    <s v="us-gaap/2024"/>
    <n v="20251231"/>
    <n v="0"/>
    <s v="USD"/>
    <s v=""/>
    <s v=""/>
    <n v="552851000"/>
  </r>
  <r>
    <x v="35"/>
    <x v="5"/>
    <s v="us-gaap/2025"/>
    <n v="20251231"/>
    <n v="0"/>
    <s v="USD"/>
    <s v=""/>
    <s v=""/>
    <n v="809680000"/>
  </r>
  <r>
    <x v="49"/>
    <x v="6"/>
    <s v="us-gaap/2025"/>
    <n v="20251231"/>
    <n v="4"/>
    <s v="USD"/>
    <s v=""/>
    <s v=""/>
    <n v="233774000"/>
  </r>
  <r>
    <x v="42"/>
    <x v="2"/>
    <s v="us-gaap/2025"/>
    <n v="20251231"/>
    <n v="4"/>
    <s v="USD"/>
    <s v=""/>
    <s v=""/>
    <n v="392345000"/>
  </r>
  <r>
    <x v="44"/>
    <x v="0"/>
    <s v="us-gaap/2025"/>
    <n v="20251231"/>
    <n v="0"/>
    <s v="USD"/>
    <s v=""/>
    <s v=""/>
    <n v="1417917000"/>
  </r>
  <r>
    <x v="44"/>
    <x v="4"/>
    <s v="us-gaap/2025"/>
    <n v="20251231"/>
    <n v="4"/>
    <s v="USD"/>
    <s v=""/>
    <s v=""/>
    <n v="6152000"/>
  </r>
  <r>
    <x v="46"/>
    <x v="2"/>
    <s v="us-gaap/2025"/>
    <n v="20251231"/>
    <n v="4"/>
    <s v="USD"/>
    <s v=""/>
    <s v=""/>
    <n v="320655000"/>
  </r>
  <r>
    <x v="51"/>
    <x v="3"/>
    <s v="us-gaap/2025"/>
    <n v="20251231"/>
    <n v="4"/>
    <s v="USD"/>
    <s v=""/>
    <s v=""/>
    <n v="3.9"/>
  </r>
  <r>
    <x v="54"/>
    <x v="5"/>
    <s v="us-gaap/2025"/>
    <n v="20251231"/>
    <n v="0"/>
    <s v="USD"/>
    <s v=""/>
    <s v=""/>
    <n v="283143000"/>
  </r>
  <r>
    <x v="63"/>
    <x v="1"/>
    <s v="us-gaap/2025"/>
    <n v="20251231"/>
    <n v="0"/>
    <s v="USD"/>
    <s v=""/>
    <s v=""/>
    <n v="5071390000"/>
  </r>
  <r>
    <x v="57"/>
    <x v="0"/>
    <s v="us-gaap/2025"/>
    <n v="20251231"/>
    <n v="0"/>
    <s v="USD"/>
    <s v=""/>
    <s v=""/>
    <n v="21347168000"/>
  </r>
  <r>
    <x v="215"/>
    <x v="4"/>
    <s v="us-gaap/2025"/>
    <n v="20251231"/>
    <n v="4"/>
    <s v="USD"/>
    <s v=""/>
    <s v=""/>
    <n v="35198000"/>
  </r>
  <r>
    <x v="215"/>
    <x v="5"/>
    <s v="us-gaap/2025"/>
    <n v="20251231"/>
    <n v="0"/>
    <s v="USD"/>
    <s v=""/>
    <s v=""/>
    <n v="301489000"/>
  </r>
  <r>
    <x v="218"/>
    <x v="4"/>
    <s v="us-gaap/2025"/>
    <n v="20251231"/>
    <n v="4"/>
    <s v="USD"/>
    <s v=""/>
    <s v=""/>
    <n v="75197000"/>
  </r>
  <r>
    <x v="52"/>
    <x v="3"/>
    <s v="us-gaap/2025"/>
    <n v="20251231"/>
    <n v="4"/>
    <s v="USD"/>
    <s v=""/>
    <s v=""/>
    <n v="165.24"/>
  </r>
  <r>
    <x v="52"/>
    <x v="0"/>
    <s v="us-gaap/2025"/>
    <n v="20251231"/>
    <n v="0"/>
    <s v="USD"/>
    <s v=""/>
    <s v=""/>
    <n v="207460000000"/>
  </r>
  <r>
    <x v="52"/>
    <x v="4"/>
    <s v="us-gaap/2025"/>
    <n v="20251231"/>
    <n v="4"/>
    <s v="USD"/>
    <s v=""/>
    <s v=""/>
    <n v="2206000000"/>
  </r>
  <r>
    <x v="55"/>
    <x v="1"/>
    <s v="us-gaap/2025"/>
    <n v="20251231"/>
    <n v="0"/>
    <s v="USD"/>
    <s v=""/>
    <s v=""/>
    <n v="9805013000"/>
  </r>
  <r>
    <x v="56"/>
    <x v="5"/>
    <s v="us-gaap/2025"/>
    <n v="20251231"/>
    <n v="0"/>
    <s v="USD"/>
    <s v=""/>
    <s v=""/>
    <n v="1654168000"/>
  </r>
  <r>
    <x v="255"/>
    <x v="4"/>
    <s v="us-gaap/2025"/>
    <n v="20251231"/>
    <n v="4"/>
    <s v="USD"/>
    <s v=""/>
    <s v=""/>
    <n v="117306000"/>
  </r>
  <r>
    <x v="214"/>
    <x v="2"/>
    <s v="us-gaap/2025"/>
    <n v="20251231"/>
    <n v="4"/>
    <s v="USD"/>
    <s v=""/>
    <s v=""/>
    <n v="430467000"/>
  </r>
  <r>
    <x v="214"/>
    <x v="5"/>
    <s v="us-gaap/2025"/>
    <n v="20251231"/>
    <n v="0"/>
    <s v="USD"/>
    <s v=""/>
    <s v=""/>
    <n v="941771000"/>
  </r>
  <r>
    <x v="59"/>
    <x v="0"/>
    <s v="us-gaap/2025"/>
    <n v="20251231"/>
    <n v="0"/>
    <s v="USD"/>
    <s v=""/>
    <s v=""/>
    <n v="18586001000"/>
  </r>
  <r>
    <x v="256"/>
    <x v="5"/>
    <s v="us-gaap/2025"/>
    <n v="20251231"/>
    <n v="0"/>
    <s v="USD"/>
    <s v=""/>
    <s v=""/>
    <n v="7043715000"/>
  </r>
  <r>
    <x v="67"/>
    <x v="0"/>
    <s v="us-gaap/2025"/>
    <n v="20251231"/>
    <n v="0"/>
    <s v="USD"/>
    <s v=""/>
    <s v=""/>
    <n v="13865862000"/>
  </r>
  <r>
    <x v="227"/>
    <x v="3"/>
    <s v="us-gaap/2025"/>
    <n v="20251231"/>
    <n v="4"/>
    <s v="USD"/>
    <s v=""/>
    <s v=""/>
    <n v="0.97"/>
  </r>
  <r>
    <x v="227"/>
    <x v="2"/>
    <s v="us-gaap/2025"/>
    <n v="20251231"/>
    <n v="4"/>
    <s v="USD"/>
    <s v=""/>
    <s v=""/>
    <n v="75939000"/>
  </r>
  <r>
    <x v="62"/>
    <x v="4"/>
    <s v="us-gaap/2025"/>
    <n v="20251231"/>
    <n v="4"/>
    <s v="USD"/>
    <s v=""/>
    <s v=""/>
    <n v="239028000"/>
  </r>
  <r>
    <x v="62"/>
    <x v="5"/>
    <s v="us-gaap/2025"/>
    <n v="20251231"/>
    <n v="0"/>
    <s v="USD"/>
    <s v=""/>
    <s v=""/>
    <n v="4213821000"/>
  </r>
  <r>
    <x v="65"/>
    <x v="5"/>
    <s v="us-gaap/2025"/>
    <n v="20251231"/>
    <n v="0"/>
    <s v="USD"/>
    <s v=""/>
    <s v=""/>
    <n v="814058000"/>
  </r>
  <r>
    <x v="66"/>
    <x v="5"/>
    <s v="us-gaap/2025"/>
    <n v="20251231"/>
    <n v="0"/>
    <s v="USD"/>
    <s v=""/>
    <s v=""/>
    <n v="188839000"/>
  </r>
  <r>
    <x v="219"/>
    <x v="1"/>
    <s v="us-gaap/2025"/>
    <n v="20251231"/>
    <n v="0"/>
    <s v="USD"/>
    <s v=""/>
    <s v=""/>
    <n v="8214740000"/>
  </r>
  <r>
    <x v="219"/>
    <x v="5"/>
    <s v="us-gaap/2025"/>
    <n v="20251231"/>
    <n v="0"/>
    <s v="USD"/>
    <s v=""/>
    <s v=""/>
    <n v="896883000"/>
  </r>
  <r>
    <x v="69"/>
    <x v="0"/>
    <s v="us-gaap/2025"/>
    <n v="20251231"/>
    <n v="0"/>
    <s v="USD"/>
    <s v=""/>
    <s v=""/>
    <n v="58992000000"/>
  </r>
  <r>
    <x v="70"/>
    <x v="1"/>
    <s v="us-gaap/2025"/>
    <n v="20251231"/>
    <n v="0"/>
    <s v="USD"/>
    <s v=""/>
    <s v=""/>
    <n v="1894850000"/>
  </r>
  <r>
    <x v="70"/>
    <x v="3"/>
    <s v="us-gaap/2025"/>
    <n v="20251231"/>
    <n v="4"/>
    <s v="USD"/>
    <s v=""/>
    <s v=""/>
    <n v="3.44"/>
  </r>
  <r>
    <x v="74"/>
    <x v="1"/>
    <s v="us-gaap/2025"/>
    <n v="20251231"/>
    <n v="0"/>
    <s v="USD"/>
    <s v=""/>
    <s v=""/>
    <n v="2768494000"/>
  </r>
  <r>
    <x v="74"/>
    <x v="4"/>
    <s v="us-gaap/2025"/>
    <n v="20251231"/>
    <n v="4"/>
    <s v="USD"/>
    <s v=""/>
    <s v=""/>
    <n v="26835000"/>
  </r>
  <r>
    <x v="82"/>
    <x v="1"/>
    <s v="us-gaap/2025"/>
    <n v="20251231"/>
    <n v="0"/>
    <s v="USD"/>
    <s v=""/>
    <s v=""/>
    <n v="669009000000"/>
  </r>
  <r>
    <x v="82"/>
    <x v="3"/>
    <s v="us-gaap/2025"/>
    <n v="20251231"/>
    <n v="4"/>
    <s v="USD"/>
    <s v=""/>
    <s v=""/>
    <n v="4.03"/>
  </r>
  <r>
    <x v="82"/>
    <x v="0"/>
    <s v="us-gaap/2025"/>
    <n v="20251231"/>
    <n v="0"/>
    <s v="USD"/>
    <s v=""/>
    <s v=""/>
    <n v="555393000000"/>
  </r>
  <r>
    <x v="82"/>
    <x v="4"/>
    <s v="us-gaap/2025"/>
    <n v="20251231"/>
    <n v="4"/>
    <s v="USD"/>
    <s v=""/>
    <s v=""/>
    <n v="2453000000"/>
  </r>
  <r>
    <x v="222"/>
    <x v="3"/>
    <s v="us-gaap/2025"/>
    <n v="20251231"/>
    <n v="4"/>
    <s v="USD"/>
    <s v=""/>
    <s v=""/>
    <n v="8.7899999999999991"/>
  </r>
  <r>
    <x v="80"/>
    <x v="4"/>
    <s v="us-gaap/2025"/>
    <n v="20251231"/>
    <n v="4"/>
    <s v="USD"/>
    <s v=""/>
    <s v=""/>
    <n v="195382000"/>
  </r>
  <r>
    <x v="75"/>
    <x v="1"/>
    <s v="us-gaap/2025"/>
    <n v="20251231"/>
    <n v="0"/>
    <s v="USD"/>
    <s v=""/>
    <s v=""/>
    <n v="14564317000"/>
  </r>
  <r>
    <x v="76"/>
    <x v="3"/>
    <s v="us-gaap/2025"/>
    <n v="20251231"/>
    <n v="4"/>
    <s v="USD"/>
    <s v=""/>
    <s v=""/>
    <n v="11.3"/>
  </r>
  <r>
    <x v="78"/>
    <x v="2"/>
    <s v="us-gaap/2025"/>
    <n v="20251231"/>
    <n v="4"/>
    <s v="USD"/>
    <s v=""/>
    <s v=""/>
    <n v="3728033000"/>
  </r>
  <r>
    <x v="78"/>
    <x v="4"/>
    <s v="us-gaap/2025"/>
    <n v="20251231"/>
    <n v="4"/>
    <s v="USD"/>
    <s v=""/>
    <s v=""/>
    <n v="823844000"/>
  </r>
  <r>
    <x v="87"/>
    <x v="1"/>
    <s v="us-gaap/2025"/>
    <n v="20251231"/>
    <n v="0"/>
    <s v="USD"/>
    <s v=""/>
    <s v=""/>
    <n v="17300884000"/>
  </r>
  <r>
    <x v="223"/>
    <x v="1"/>
    <s v="us-gaap/2025"/>
    <n v="20251231"/>
    <n v="0"/>
    <s v="USD"/>
    <s v=""/>
    <s v=""/>
    <n v="20842331000"/>
  </r>
  <r>
    <x v="224"/>
    <x v="3"/>
    <s v="us-gaap/2025"/>
    <n v="20251231"/>
    <n v="4"/>
    <s v="USD"/>
    <s v=""/>
    <s v=""/>
    <n v="1.36"/>
  </r>
  <r>
    <x v="224"/>
    <x v="2"/>
    <s v="us-gaap/2025"/>
    <n v="20251231"/>
    <n v="4"/>
    <s v="USD"/>
    <s v=""/>
    <s v=""/>
    <n v="159787000"/>
  </r>
  <r>
    <x v="226"/>
    <x v="3"/>
    <s v="us-gaap/2025"/>
    <n v="20251231"/>
    <n v="4"/>
    <s v="USD"/>
    <s v=""/>
    <s v=""/>
    <n v="1.18"/>
  </r>
  <r>
    <x v="226"/>
    <x v="4"/>
    <s v="us-gaap/2025"/>
    <n v="20251231"/>
    <n v="4"/>
    <s v="USD"/>
    <s v=""/>
    <s v=""/>
    <n v="228973000"/>
  </r>
  <r>
    <x v="83"/>
    <x v="0"/>
    <s v="us-gaap/2025"/>
    <n v="20251231"/>
    <n v="0"/>
    <s v="USD"/>
    <s v=""/>
    <s v=""/>
    <n v="9365920000"/>
  </r>
  <r>
    <x v="84"/>
    <x v="1"/>
    <s v="us-gaap/2025"/>
    <n v="20251231"/>
    <n v="0"/>
    <s v="USD"/>
    <s v=""/>
    <s v=""/>
    <n v="19132892000"/>
  </r>
  <r>
    <x v="257"/>
    <x v="4"/>
    <s v="us-gaap/2025"/>
    <n v="20251231"/>
    <n v="4"/>
    <s v="USD"/>
    <s v=""/>
    <s v=""/>
    <n v="60512000"/>
  </r>
  <r>
    <x v="232"/>
    <x v="2"/>
    <s v="us-gaap/2025"/>
    <n v="20251231"/>
    <n v="4"/>
    <s v="USD"/>
    <s v=""/>
    <s v=""/>
    <n v="185710000"/>
  </r>
  <r>
    <x v="88"/>
    <x v="4"/>
    <s v="us-gaap/2025"/>
    <n v="20251231"/>
    <n v="4"/>
    <s v="USD"/>
    <s v=""/>
    <s v=""/>
    <n v="1325188000"/>
  </r>
  <r>
    <x v="230"/>
    <x v="2"/>
    <s v="us-gaap/2025"/>
    <n v="20251231"/>
    <n v="4"/>
    <s v="USD"/>
    <s v=""/>
    <s v=""/>
    <n v="163212000"/>
  </r>
  <r>
    <x v="86"/>
    <x v="4"/>
    <s v="us-gaap/2025"/>
    <n v="20251231"/>
    <n v="4"/>
    <s v="USD"/>
    <s v=""/>
    <s v=""/>
    <n v="42764000"/>
  </r>
  <r>
    <x v="233"/>
    <x v="4"/>
    <s v="us-gaap/2025"/>
    <n v="20251231"/>
    <n v="4"/>
    <s v="USD"/>
    <s v=""/>
    <s v=""/>
    <n v="80855000"/>
  </r>
  <r>
    <x v="233"/>
    <x v="5"/>
    <s v="us-gaap/2025"/>
    <n v="20251231"/>
    <n v="0"/>
    <s v="USD"/>
    <s v=""/>
    <s v=""/>
    <n v="591535000"/>
  </r>
  <r>
    <x v="231"/>
    <x v="1"/>
    <s v="us-gaap/2025"/>
    <n v="20251231"/>
    <n v="0"/>
    <s v="USD"/>
    <s v=""/>
    <s v=""/>
    <n v="2710235000"/>
  </r>
  <r>
    <x v="235"/>
    <x v="1"/>
    <s v="us-gaap/2025"/>
    <n v="20251231"/>
    <n v="0"/>
    <s v="USD"/>
    <s v=""/>
    <s v=""/>
    <n v="1525790540"/>
  </r>
  <r>
    <x v="235"/>
    <x v="2"/>
    <s v="us-gaap/2025"/>
    <n v="20251231"/>
    <n v="4"/>
    <s v="USD"/>
    <s v=""/>
    <s v=""/>
    <n v="85907554"/>
  </r>
  <r>
    <x v="235"/>
    <x v="5"/>
    <s v="us-gaap/2025"/>
    <n v="20251231"/>
    <n v="0"/>
    <s v="USD"/>
    <s v=""/>
    <s v=""/>
    <n v="145781100"/>
  </r>
  <r>
    <x v="244"/>
    <x v="2"/>
    <s v="us-gaap/2025"/>
    <n v="20251231"/>
    <n v="4"/>
    <s v="USD"/>
    <s v=""/>
    <s v=""/>
    <n v="989948000"/>
  </r>
  <r>
    <x v="236"/>
    <x v="3"/>
    <s v="us-gaap/2025"/>
    <n v="20251231"/>
    <n v="4"/>
    <s v="USD"/>
    <s v=""/>
    <s v=""/>
    <n v="-0.17"/>
  </r>
  <r>
    <x v="236"/>
    <x v="0"/>
    <s v="us-gaap/2025"/>
    <n v="20251231"/>
    <n v="0"/>
    <s v="USD"/>
    <s v=""/>
    <s v=""/>
    <n v="993160000"/>
  </r>
  <r>
    <x v="89"/>
    <x v="1"/>
    <s v="us-gaap/2025"/>
    <n v="20251231"/>
    <n v="0"/>
    <s v="USD"/>
    <s v=""/>
    <s v=""/>
    <n v="15844994000"/>
  </r>
  <r>
    <x v="89"/>
    <x v="4"/>
    <s v="us-gaap/2025"/>
    <n v="20251231"/>
    <n v="4"/>
    <s v="USD"/>
    <s v=""/>
    <s v=""/>
    <n v="165591000"/>
  </r>
  <r>
    <x v="240"/>
    <x v="1"/>
    <s v="us-gaap/2025"/>
    <n v="20251231"/>
    <n v="0"/>
    <s v="USD"/>
    <s v=""/>
    <s v=""/>
    <n v="16300292000"/>
  </r>
  <r>
    <x v="90"/>
    <x v="1"/>
    <s v="us-gaap/2025"/>
    <n v="20251231"/>
    <n v="0"/>
    <s v="USD"/>
    <s v=""/>
    <s v=""/>
    <n v="67197412000"/>
  </r>
  <r>
    <x v="248"/>
    <x v="2"/>
    <s v="us-gaap/2025"/>
    <n v="20251231"/>
    <n v="4"/>
    <s v="USD"/>
    <s v=""/>
    <s v=""/>
    <n v="83618000"/>
  </r>
  <r>
    <x v="94"/>
    <x v="2"/>
    <s v="us-gaap/2025"/>
    <n v="20251231"/>
    <n v="4"/>
    <s v="USD"/>
    <s v=""/>
    <s v=""/>
    <n v="519774000"/>
  </r>
  <r>
    <x v="92"/>
    <x v="0"/>
    <s v="us-gaap/2024"/>
    <n v="20251231"/>
    <n v="0"/>
    <s v="USD"/>
    <s v=""/>
    <s v=""/>
    <n v="6005907000"/>
  </r>
  <r>
    <x v="125"/>
    <x v="2"/>
    <s v="us-gaap/2025"/>
    <n v="20251231"/>
    <n v="4"/>
    <s v="USD"/>
    <s v=""/>
    <s v=""/>
    <n v="886274000"/>
  </r>
  <r>
    <x v="96"/>
    <x v="3"/>
    <s v="us-gaap/2025"/>
    <n v="20251231"/>
    <n v="4"/>
    <s v="USD"/>
    <s v=""/>
    <s v=""/>
    <n v="7.54"/>
  </r>
  <r>
    <x v="97"/>
    <x v="3"/>
    <s v="us-gaap/2025"/>
    <n v="20251231"/>
    <n v="4"/>
    <s v="USD"/>
    <s v=""/>
    <s v=""/>
    <n v="2.21"/>
  </r>
  <r>
    <x v="100"/>
    <x v="3"/>
    <s v="us-gaap/2025"/>
    <n v="20251231"/>
    <n v="4"/>
    <s v="USD"/>
    <s v=""/>
    <s v=""/>
    <n v="3.98"/>
  </r>
  <r>
    <x v="115"/>
    <x v="4"/>
    <s v="us-gaap/2025"/>
    <n v="20251231"/>
    <n v="4"/>
    <s v="USD"/>
    <s v=""/>
    <s v=""/>
    <n v="131317000"/>
  </r>
  <r>
    <x v="242"/>
    <x v="3"/>
    <s v="us-gaap/2025"/>
    <n v="20251231"/>
    <n v="4"/>
    <s v="USD"/>
    <s v=""/>
    <s v=""/>
    <n v="3.52"/>
  </r>
  <r>
    <x v="242"/>
    <x v="0"/>
    <s v="us-gaap/2025"/>
    <n v="20251231"/>
    <n v="0"/>
    <s v="USD"/>
    <s v=""/>
    <s v=""/>
    <n v="7331806000"/>
  </r>
  <r>
    <x v="243"/>
    <x v="1"/>
    <s v="us-gaap/2025"/>
    <n v="20251231"/>
    <n v="0"/>
    <s v="USD"/>
    <s v=""/>
    <s v=""/>
    <n v="2650226000"/>
  </r>
  <r>
    <x v="245"/>
    <x v="5"/>
    <s v="us-gaap/2024"/>
    <n v="20251231"/>
    <n v="0"/>
    <s v="USD"/>
    <s v=""/>
    <s v=""/>
    <n v="338554000"/>
  </r>
  <r>
    <x v="119"/>
    <x v="2"/>
    <s v="us-gaap/2025"/>
    <n v="20251231"/>
    <n v="4"/>
    <s v="USD"/>
    <s v=""/>
    <s v=""/>
    <n v="113257000"/>
  </r>
  <r>
    <x v="106"/>
    <x v="1"/>
    <s v="us-gaap/2025"/>
    <n v="20251231"/>
    <n v="0"/>
    <s v="USD"/>
    <s v=""/>
    <s v=""/>
    <n v="2383096000"/>
  </r>
  <r>
    <x v="106"/>
    <x v="3"/>
    <s v="us-gaap/2025"/>
    <n v="20251231"/>
    <n v="4"/>
    <s v="USD"/>
    <s v=""/>
    <s v=""/>
    <n v="1.01"/>
  </r>
  <r>
    <x v="106"/>
    <x v="2"/>
    <s v="us-gaap/2025"/>
    <n v="20251231"/>
    <n v="4"/>
    <s v="USD"/>
    <s v=""/>
    <s v=""/>
    <n v="130479000"/>
  </r>
  <r>
    <x v="105"/>
    <x v="4"/>
    <s v="us-gaap/2025"/>
    <n v="20251231"/>
    <n v="4"/>
    <s v="USD"/>
    <s v=""/>
    <s v=""/>
    <n v="59187000"/>
  </r>
  <r>
    <x v="107"/>
    <x v="1"/>
    <s v="us-gaap/2025"/>
    <n v="20251231"/>
    <n v="0"/>
    <s v="USD"/>
    <s v=""/>
    <s v=""/>
    <n v="2659377000"/>
  </r>
  <r>
    <x v="253"/>
    <x v="4"/>
    <s v="us-gaap/2025"/>
    <n v="20251231"/>
    <n v="4"/>
    <s v="USD"/>
    <s v=""/>
    <s v=""/>
    <n v="68532000"/>
  </r>
  <r>
    <x v="109"/>
    <x v="3"/>
    <s v="us-gaap/2025"/>
    <n v="20251231"/>
    <n v="4"/>
    <s v="USD"/>
    <s v=""/>
    <s v=""/>
    <n v="2.4900000000000002"/>
  </r>
  <r>
    <x v="109"/>
    <x v="5"/>
    <s v="us-gaap/2025"/>
    <n v="20251231"/>
    <n v="0"/>
    <s v="USD"/>
    <s v=""/>
    <s v=""/>
    <n v="422896000"/>
  </r>
  <r>
    <x v="247"/>
    <x v="0"/>
    <s v="us-gaap/2025"/>
    <n v="20251231"/>
    <n v="0"/>
    <s v="USD"/>
    <s v=""/>
    <s v=""/>
    <n v="2362279000"/>
  </r>
  <r>
    <x v="112"/>
    <x v="5"/>
    <s v="us-gaap/2024"/>
    <n v="20251231"/>
    <n v="0"/>
    <s v="USD"/>
    <s v=""/>
    <s v=""/>
    <n v="100667000"/>
  </r>
  <r>
    <x v="113"/>
    <x v="2"/>
    <s v="us-gaap/2025"/>
    <n v="20251231"/>
    <n v="4"/>
    <s v="USD"/>
    <s v=""/>
    <s v=""/>
    <n v="71354000"/>
  </r>
  <r>
    <x v="114"/>
    <x v="5"/>
    <s v="us-gaap/2025"/>
    <n v="20251231"/>
    <n v="0"/>
    <s v="USD"/>
    <s v=""/>
    <s v=""/>
    <n v="32751000"/>
  </r>
  <r>
    <x v="250"/>
    <x v="5"/>
    <s v="us-gaap/2025"/>
    <n v="20251231"/>
    <n v="0"/>
    <s v="USD"/>
    <s v=""/>
    <s v=""/>
    <n v="419697000"/>
  </r>
  <r>
    <x v="118"/>
    <x v="2"/>
    <s v="us-gaap/2025"/>
    <n v="20251231"/>
    <n v="4"/>
    <s v="USD"/>
    <s v=""/>
    <s v=""/>
    <n v="345719000"/>
  </r>
  <r>
    <x v="158"/>
    <x v="4"/>
    <s v="us-gaap/2025"/>
    <n v="20251231"/>
    <n v="4"/>
    <s v="USD"/>
    <s v=""/>
    <s v=""/>
    <n v="58471000"/>
  </r>
  <r>
    <x v="158"/>
    <x v="5"/>
    <s v="us-gaap/2025"/>
    <n v="20251231"/>
    <n v="0"/>
    <s v="USD"/>
    <s v=""/>
    <s v=""/>
    <n v="493837000"/>
  </r>
  <r>
    <x v="120"/>
    <x v="4"/>
    <s v="us-gaap/2025"/>
    <n v="20251231"/>
    <n v="4"/>
    <s v="USD"/>
    <s v=""/>
    <s v=""/>
    <n v="36572000"/>
  </r>
  <r>
    <x v="121"/>
    <x v="4"/>
    <s v="us-gaap/2025"/>
    <n v="20251231"/>
    <n v="4"/>
    <s v="USD"/>
    <s v=""/>
    <s v=""/>
    <n v="15601000"/>
  </r>
  <r>
    <x v="127"/>
    <x v="5"/>
    <s v="us-gaap/2025"/>
    <n v="20251231"/>
    <n v="0"/>
    <s v="USD"/>
    <s v=""/>
    <s v=""/>
    <n v="1849847000"/>
  </r>
  <r>
    <x v="128"/>
    <x v="0"/>
    <s v="us-gaap/2025"/>
    <n v="20251231"/>
    <n v="0"/>
    <s v="USD"/>
    <s v=""/>
    <s v=""/>
    <n v="7927445000"/>
  </r>
  <r>
    <x v="130"/>
    <x v="0"/>
    <s v="us-gaap/2025"/>
    <n v="20251231"/>
    <n v="0"/>
    <s v="USD"/>
    <s v=""/>
    <s v=""/>
    <n v="2096673000"/>
  </r>
  <r>
    <x v="254"/>
    <x v="2"/>
    <s v="us-gaap/2025"/>
    <n v="20251231"/>
    <n v="4"/>
    <s v="USD"/>
    <s v=""/>
    <s v=""/>
    <n v="48587000"/>
  </r>
  <r>
    <x v="255"/>
    <x v="3"/>
    <s v="us-gaap/2025"/>
    <n v="20251231"/>
    <n v="4"/>
    <s v="USD"/>
    <s v=""/>
    <s v=""/>
    <n v="7.76"/>
  </r>
  <r>
    <x v="255"/>
    <x v="0"/>
    <s v="us-gaap/2025"/>
    <n v="20251231"/>
    <n v="0"/>
    <s v="USD"/>
    <s v=""/>
    <s v=""/>
    <n v="7065977000"/>
  </r>
  <r>
    <x v="134"/>
    <x v="1"/>
    <s v="us-gaap/2025"/>
    <n v="20251231"/>
    <n v="0"/>
    <s v="USD"/>
    <s v=""/>
    <s v=""/>
    <n v="18925211000"/>
  </r>
  <r>
    <x v="134"/>
    <x v="5"/>
    <s v="us-gaap/2025"/>
    <n v="20251231"/>
    <n v="0"/>
    <s v="USD"/>
    <s v=""/>
    <s v=""/>
    <n v="2121677000"/>
  </r>
  <r>
    <x v="147"/>
    <x v="3"/>
    <s v="us-gaap/2025"/>
    <n v="20251231"/>
    <n v="4"/>
    <s v="USD"/>
    <s v=""/>
    <s v=""/>
    <n v="5.94"/>
  </r>
  <r>
    <x v="147"/>
    <x v="4"/>
    <s v="us-gaap/2025"/>
    <n v="20251231"/>
    <n v="4"/>
    <s v="USD"/>
    <s v=""/>
    <s v=""/>
    <n v="50319000"/>
  </r>
  <r>
    <x v="147"/>
    <x v="5"/>
    <s v="us-gaap/2025"/>
    <n v="20251231"/>
    <n v="0"/>
    <s v="USD"/>
    <s v=""/>
    <s v=""/>
    <n v="371585000"/>
  </r>
  <r>
    <x v="137"/>
    <x v="2"/>
    <s v="us-gaap/2025"/>
    <n v="20251231"/>
    <n v="4"/>
    <s v="USD"/>
    <s v=""/>
    <s v=""/>
    <n v="3354280000"/>
  </r>
  <r>
    <x v="137"/>
    <x v="4"/>
    <s v="us-gaap/2025"/>
    <n v="20251231"/>
    <n v="4"/>
    <s v="USD"/>
    <s v=""/>
    <s v=""/>
    <n v="702398000"/>
  </r>
  <r>
    <x v="138"/>
    <x v="5"/>
    <s v="us-gaap/2025"/>
    <n v="20251231"/>
    <n v="0"/>
    <s v="USD"/>
    <s v=""/>
    <s v=""/>
    <n v="7616140000"/>
  </r>
  <r>
    <x v="139"/>
    <x v="4"/>
    <s v="us-gaap/2025"/>
    <n v="20251231"/>
    <n v="4"/>
    <s v="USD"/>
    <s v=""/>
    <s v=""/>
    <n v="486073000"/>
  </r>
  <r>
    <x v="146"/>
    <x v="2"/>
    <s v="us-gaap/2025"/>
    <n v="20251231"/>
    <n v="4"/>
    <s v="USD"/>
    <s v=""/>
    <s v=""/>
    <n v="1685853000"/>
  </r>
  <r>
    <x v="140"/>
    <x v="5"/>
    <s v="us-gaap/2025"/>
    <n v="20251231"/>
    <n v="0"/>
    <s v="USD"/>
    <s v=""/>
    <s v=""/>
    <n v="796386000"/>
  </r>
  <r>
    <x v="152"/>
    <x v="3"/>
    <s v="us-gaap/2025"/>
    <n v="20251231"/>
    <n v="4"/>
    <s v="USD"/>
    <s v=""/>
    <s v=""/>
    <n v="6.28"/>
  </r>
  <r>
    <x v="142"/>
    <x v="4"/>
    <s v="us-gaap/2025"/>
    <n v="20251231"/>
    <n v="4"/>
    <s v="USD"/>
    <s v=""/>
    <s v=""/>
    <n v="209298000"/>
  </r>
  <r>
    <x v="143"/>
    <x v="1"/>
    <s v="us-gaap/2025"/>
    <n v="20251231"/>
    <n v="0"/>
    <s v="USD"/>
    <s v=""/>
    <s v=""/>
    <n v="27696333000"/>
  </r>
  <r>
    <x v="145"/>
    <x v="2"/>
    <s v="us-gaap/2024"/>
    <n v="20251231"/>
    <n v="4"/>
    <s v="USD"/>
    <s v=""/>
    <s v=""/>
    <n v="3783009000"/>
  </r>
  <r>
    <x v="148"/>
    <x v="0"/>
    <s v="us-gaap/2025"/>
    <n v="20251231"/>
    <n v="0"/>
    <s v="USD"/>
    <s v=""/>
    <s v=""/>
    <n v="1120788000"/>
  </r>
  <r>
    <x v="149"/>
    <x v="3"/>
    <s v="us-gaap/2025"/>
    <n v="20251231"/>
    <n v="4"/>
    <s v="USD"/>
    <s v=""/>
    <s v=""/>
    <n v="1.24"/>
  </r>
  <r>
    <x v="149"/>
    <x v="2"/>
    <s v="us-gaap/2025"/>
    <n v="20251231"/>
    <n v="4"/>
    <s v="USD"/>
    <s v=""/>
    <s v=""/>
    <n v="330835000"/>
  </r>
  <r>
    <x v="159"/>
    <x v="0"/>
    <s v="us-gaap/2025"/>
    <n v="20251231"/>
    <n v="0"/>
    <s v="USD"/>
    <s v=""/>
    <s v=""/>
    <n v="1932895000"/>
  </r>
  <r>
    <x v="159"/>
    <x v="4"/>
    <s v="us-gaap/2025"/>
    <n v="20251231"/>
    <n v="4"/>
    <s v="USD"/>
    <s v=""/>
    <s v=""/>
    <n v="17541000"/>
  </r>
  <r>
    <x v="154"/>
    <x v="4"/>
    <s v="us-gaap/2025"/>
    <n v="20251231"/>
    <n v="4"/>
    <s v="USD"/>
    <s v=""/>
    <s v=""/>
    <n v="24892000"/>
  </r>
  <r>
    <x v="155"/>
    <x v="1"/>
    <s v="us-gaap/2025"/>
    <n v="20251231"/>
    <n v="0"/>
    <s v="USD"/>
    <s v=""/>
    <s v=""/>
    <n v="4410551000"/>
  </r>
  <r>
    <x v="165"/>
    <x v="1"/>
    <s v="us-gaap/2025"/>
    <n v="20251231"/>
    <n v="0"/>
    <s v="USD"/>
    <s v=""/>
    <s v=""/>
    <n v="2285147000"/>
  </r>
  <r>
    <x v="156"/>
    <x v="0"/>
    <s v="us-gaap/2025"/>
    <n v="20251231"/>
    <n v="0"/>
    <s v="USD"/>
    <s v=""/>
    <s v=""/>
    <n v="1776442000"/>
  </r>
  <r>
    <x v="157"/>
    <x v="4"/>
    <s v="us-gaap/2025"/>
    <n v="20251231"/>
    <n v="4"/>
    <s v="USD"/>
    <s v=""/>
    <s v=""/>
    <n v="13363000"/>
  </r>
  <r>
    <x v="164"/>
    <x v="1"/>
    <s v="us-gaap/2025"/>
    <n v="20251231"/>
    <n v="0"/>
    <s v="USD"/>
    <s v=""/>
    <s v=""/>
    <n v="1018797000"/>
  </r>
  <r>
    <x v="170"/>
    <x v="3"/>
    <s v="us-gaap/2025"/>
    <n v="20251231"/>
    <n v="4"/>
    <s v="USD"/>
    <s v=""/>
    <s v=""/>
    <n v="2.4900000000000002"/>
  </r>
  <r>
    <x v="170"/>
    <x v="5"/>
    <s v="us-gaap/2025"/>
    <n v="20251231"/>
    <n v="0"/>
    <s v="USD"/>
    <s v=""/>
    <s v=""/>
    <n v="184908000"/>
  </r>
  <r>
    <x v="166"/>
    <x v="5"/>
    <s v="us-gaap/2025"/>
    <n v="20251231"/>
    <n v="0"/>
    <s v="USD"/>
    <s v=""/>
    <s v=""/>
    <n v="165755000"/>
  </r>
  <r>
    <x v="171"/>
    <x v="2"/>
    <s v="us-gaap/2025"/>
    <n v="20251231"/>
    <n v="4"/>
    <s v="USD"/>
    <s v=""/>
    <s v=""/>
    <n v="211481000"/>
  </r>
  <r>
    <x v="172"/>
    <x v="0"/>
    <s v="us-gaap/2025"/>
    <n v="20251231"/>
    <n v="0"/>
    <s v="USD"/>
    <s v=""/>
    <s v=""/>
    <n v="1404131000"/>
  </r>
  <r>
    <x v="178"/>
    <x v="3"/>
    <s v="us-gaap/2025"/>
    <n v="20251231"/>
    <n v="4"/>
    <s v="USD"/>
    <s v=""/>
    <s v=""/>
    <n v="4.99"/>
  </r>
  <r>
    <x v="176"/>
    <x v="3"/>
    <s v="us-gaap/2025"/>
    <n v="20251231"/>
    <n v="4"/>
    <s v="USD"/>
    <s v=""/>
    <s v=""/>
    <n v="2.41"/>
  </r>
  <r>
    <x v="177"/>
    <x v="6"/>
    <s v="us-gaap/2025"/>
    <n v="20251231"/>
    <n v="4"/>
    <s v="USD"/>
    <s v=""/>
    <s v=""/>
    <n v="380204000"/>
  </r>
  <r>
    <x v="181"/>
    <x v="4"/>
    <s v="us-gaap/2025"/>
    <n v="20251231"/>
    <n v="4"/>
    <s v="USD"/>
    <s v=""/>
    <s v=""/>
    <n v="5549000000"/>
  </r>
  <r>
    <x v="180"/>
    <x v="3"/>
    <s v="us-gaap/2025"/>
    <n v="20251231"/>
    <n v="4"/>
    <s v="USD"/>
    <s v=""/>
    <s v=""/>
    <n v="3.45"/>
  </r>
  <r>
    <x v="192"/>
    <x v="5"/>
    <s v="us-gaap/2025"/>
    <n v="20251231"/>
    <n v="0"/>
    <s v="USD"/>
    <s v=""/>
    <s v=""/>
    <n v="1573340000"/>
  </r>
  <r>
    <x v="182"/>
    <x v="4"/>
    <s v="us-gaap/2025"/>
    <n v="20251231"/>
    <n v="4"/>
    <s v="USD"/>
    <s v=""/>
    <s v=""/>
    <n v="140150000"/>
  </r>
  <r>
    <x v="203"/>
    <x v="2"/>
    <s v="us-gaap/2025"/>
    <n v="20251231"/>
    <n v="4"/>
    <s v="USD"/>
    <s v=""/>
    <s v=""/>
    <n v="1309260000"/>
  </r>
  <r>
    <x v="203"/>
    <x v="0"/>
    <s v="us-gaap/2025"/>
    <n v="20251231"/>
    <n v="0"/>
    <s v="USD"/>
    <s v=""/>
    <s v=""/>
    <n v="21304187000"/>
  </r>
  <r>
    <x v="184"/>
    <x v="2"/>
    <s v="us-gaap/2025"/>
    <n v="20251231"/>
    <n v="4"/>
    <s v="USD"/>
    <s v=""/>
    <s v=""/>
    <n v="279636000"/>
  </r>
  <r>
    <x v="184"/>
    <x v="5"/>
    <s v="us-gaap/2025"/>
    <n v="20251231"/>
    <n v="0"/>
    <s v="USD"/>
    <s v=""/>
    <s v=""/>
    <n v="564934000"/>
  </r>
  <r>
    <x v="194"/>
    <x v="4"/>
    <s v="us-gaap/2025"/>
    <n v="20251231"/>
    <n v="4"/>
    <s v="USD"/>
    <s v=""/>
    <s v=""/>
    <n v="54586000"/>
  </r>
  <r>
    <x v="185"/>
    <x v="5"/>
    <s v="us-gaap/2025"/>
    <n v="20251231"/>
    <n v="0"/>
    <s v="USD"/>
    <s v=""/>
    <s v=""/>
    <n v="191814000"/>
  </r>
  <r>
    <x v="210"/>
    <x v="2"/>
    <s v="us-gaap/2025"/>
    <n v="20251231"/>
    <n v="4"/>
    <s v="USD"/>
    <s v=""/>
    <s v=""/>
    <n v="221126000"/>
  </r>
  <r>
    <x v="186"/>
    <x v="2"/>
    <s v="us-gaap/2025"/>
    <n v="20251231"/>
    <n v="4"/>
    <s v="USD"/>
    <s v=""/>
    <s v=""/>
    <n v="102747000"/>
  </r>
  <r>
    <x v="186"/>
    <x v="0"/>
    <s v="us-gaap/2025"/>
    <n v="20251231"/>
    <n v="0"/>
    <s v="USD"/>
    <s v=""/>
    <s v=""/>
    <n v="1966840000"/>
  </r>
  <r>
    <x v="186"/>
    <x v="5"/>
    <s v="us-gaap/2025"/>
    <n v="20251231"/>
    <n v="0"/>
    <s v="USD"/>
    <s v=""/>
    <s v=""/>
    <n v="273929000"/>
  </r>
  <r>
    <x v="205"/>
    <x v="3"/>
    <s v="us-gaap/2025"/>
    <n v="20251231"/>
    <n v="4"/>
    <s v="USD"/>
    <s v=""/>
    <s v=""/>
    <n v="1.76"/>
  </r>
  <r>
    <x v="197"/>
    <x v="3"/>
    <s v="us-gaap/2025"/>
    <n v="20251231"/>
    <n v="4"/>
    <s v="USD"/>
    <s v=""/>
    <s v=""/>
    <n v="4.8899999999999997"/>
  </r>
  <r>
    <x v="187"/>
    <x v="3"/>
    <s v="us-gaap/2025"/>
    <n v="20251231"/>
    <n v="4"/>
    <s v="USD"/>
    <s v=""/>
    <s v=""/>
    <n v="2.2200000000000002"/>
  </r>
  <r>
    <x v="187"/>
    <x v="4"/>
    <s v="us-gaap/2025"/>
    <n v="20251231"/>
    <n v="4"/>
    <s v="USD"/>
    <s v=""/>
    <s v=""/>
    <n v="22904000"/>
  </r>
  <r>
    <x v="189"/>
    <x v="5"/>
    <s v="us-gaap/2025"/>
    <n v="20251231"/>
    <n v="0"/>
    <s v="USD"/>
    <s v=""/>
    <s v=""/>
    <n v="200455000"/>
  </r>
  <r>
    <x v="199"/>
    <x v="1"/>
    <s v="us-gaap/2025"/>
    <n v="20251231"/>
    <n v="0"/>
    <s v="USD"/>
    <s v=""/>
    <s v=""/>
    <n v="2037978000"/>
  </r>
  <r>
    <x v="190"/>
    <x v="3"/>
    <s v="us-gaap/2025"/>
    <n v="20251231"/>
    <n v="4"/>
    <s v="USD"/>
    <s v=""/>
    <s v=""/>
    <n v="2.9"/>
  </r>
  <r>
    <x v="200"/>
    <x v="3"/>
    <s v="us-gaap/2025"/>
    <n v="20251231"/>
    <n v="4"/>
    <s v="USD"/>
    <s v=""/>
    <s v=""/>
    <n v="3.12"/>
  </r>
  <r>
    <x v="209"/>
    <x v="2"/>
    <s v="us-gaap/2025"/>
    <n v="20251231"/>
    <n v="4"/>
    <s v="USD"/>
    <s v=""/>
    <s v=""/>
    <n v="574470000"/>
  </r>
  <r>
    <x v="209"/>
    <x v="5"/>
    <s v="us-gaap/2025"/>
    <n v="20251231"/>
    <n v="0"/>
    <s v="USD"/>
    <s v=""/>
    <s v=""/>
    <n v="1668654000"/>
  </r>
  <r>
    <x v="201"/>
    <x v="0"/>
    <s v="us-gaap/2025"/>
    <n v="20251231"/>
    <n v="0"/>
    <s v="USD"/>
    <s v=""/>
    <s v=""/>
    <n v="22780351000"/>
  </r>
  <r>
    <x v="201"/>
    <x v="4"/>
    <s v="us-gaap/2025"/>
    <n v="20251231"/>
    <n v="4"/>
    <s v="USD"/>
    <s v=""/>
    <s v=""/>
    <n v="224088000"/>
  </r>
  <r>
    <x v="207"/>
    <x v="2"/>
    <s v="us-gaap/2025"/>
    <n v="20251231"/>
    <n v="4"/>
    <s v="USD"/>
    <s v=""/>
    <s v=""/>
    <n v="64354000"/>
  </r>
  <r>
    <x v="218"/>
    <x v="0"/>
    <s v="us-gaap/2025"/>
    <n v="20251231"/>
    <n v="0"/>
    <s v="USD"/>
    <s v=""/>
    <s v=""/>
    <n v="8478037000"/>
  </r>
  <r>
    <x v="213"/>
    <x v="0"/>
    <s v="us-gaap/2025"/>
    <n v="20251231"/>
    <n v="0"/>
    <s v="USD"/>
    <s v=""/>
    <s v=""/>
    <n v="19489100000"/>
  </r>
  <r>
    <x v="216"/>
    <x v="5"/>
    <s v="us-gaap/2025"/>
    <n v="20251231"/>
    <n v="0"/>
    <s v="USD"/>
    <s v=""/>
    <s v=""/>
    <n v="167557000"/>
  </r>
  <r>
    <x v="217"/>
    <x v="1"/>
    <s v="us-gaap/2025"/>
    <n v="20251231"/>
    <n v="0"/>
    <s v="USD"/>
    <s v=""/>
    <s v=""/>
    <n v="2791540000"/>
  </r>
  <r>
    <x v="227"/>
    <x v="4"/>
    <s v="us-gaap/2025"/>
    <n v="20251231"/>
    <n v="4"/>
    <s v="USD"/>
    <s v=""/>
    <s v=""/>
    <n v="4903000"/>
  </r>
  <r>
    <x v="220"/>
    <x v="1"/>
    <s v="us-gaap/2025"/>
    <n v="20251231"/>
    <n v="0"/>
    <s v="USD"/>
    <s v=""/>
    <s v=""/>
    <n v="4424900000000"/>
  </r>
  <r>
    <x v="220"/>
    <x v="6"/>
    <s v="us-gaap/2025"/>
    <n v="20251231"/>
    <n v="4"/>
    <s v="USD"/>
    <s v=""/>
    <s v=""/>
    <n v="193341000000"/>
  </r>
  <r>
    <x v="220"/>
    <x v="0"/>
    <s v="us-gaap/2025"/>
    <n v="20251231"/>
    <n v="0"/>
    <s v="USD"/>
    <s v=""/>
    <s v=""/>
    <n v="4062462000000"/>
  </r>
  <r>
    <x v="222"/>
    <x v="1"/>
    <s v="us-gaap/2025"/>
    <n v="20251231"/>
    <n v="0"/>
    <s v="USD"/>
    <s v=""/>
    <s v=""/>
    <n v="92774000000"/>
  </r>
  <r>
    <x v="222"/>
    <x v="4"/>
    <s v="us-gaap/2025"/>
    <n v="20251231"/>
    <n v="4"/>
    <s v="USD"/>
    <s v=""/>
    <s v=""/>
    <n v="969000000"/>
  </r>
  <r>
    <x v="222"/>
    <x v="5"/>
    <s v="us-gaap/2025"/>
    <n v="20251231"/>
    <n v="0"/>
    <s v="USD"/>
    <s v=""/>
    <s v=""/>
    <n v="7653000000"/>
  </r>
  <r>
    <x v="221"/>
    <x v="3"/>
    <s v="us-gaap/2025"/>
    <n v="20251231"/>
    <n v="4"/>
    <s v="USD"/>
    <s v=""/>
    <s v=""/>
    <n v="1.53"/>
  </r>
  <r>
    <x v="225"/>
    <x v="3"/>
    <s v="us-gaap/2025"/>
    <n v="20251231"/>
    <n v="4"/>
    <s v="USD"/>
    <s v=""/>
    <s v=""/>
    <n v="-2.96"/>
  </r>
  <r>
    <x v="225"/>
    <x v="2"/>
    <s v="us-gaap/2025"/>
    <n v="20251231"/>
    <n v="4"/>
    <s v="USD"/>
    <s v=""/>
    <s v=""/>
    <n v="1243814000"/>
  </r>
  <r>
    <x v="228"/>
    <x v="0"/>
    <s v="us-gaap/2025"/>
    <n v="20251231"/>
    <n v="0"/>
    <s v="USD"/>
    <s v=""/>
    <s v=""/>
    <n v="4309029000"/>
  </r>
  <r>
    <x v="232"/>
    <x v="1"/>
    <s v="us-gaap/2025"/>
    <n v="20251231"/>
    <n v="0"/>
    <s v="USD"/>
    <s v=""/>
    <s v=""/>
    <n v="3690317000"/>
  </r>
  <r>
    <x v="230"/>
    <x v="3"/>
    <s v="us-gaap/2025"/>
    <n v="20251231"/>
    <n v="4"/>
    <s v="USD"/>
    <s v=""/>
    <s v=""/>
    <n v="3.61"/>
  </r>
  <r>
    <x v="231"/>
    <x v="0"/>
    <s v="us-gaap/2025"/>
    <n v="20251231"/>
    <n v="0"/>
    <s v="USD"/>
    <s v=""/>
    <s v=""/>
    <n v="2455526000"/>
  </r>
  <r>
    <x v="231"/>
    <x v="4"/>
    <s v="us-gaap/2025"/>
    <n v="20251231"/>
    <n v="4"/>
    <s v="USD"/>
    <s v=""/>
    <s v=""/>
    <n v="15104000"/>
  </r>
  <r>
    <x v="244"/>
    <x v="3"/>
    <s v="us-gaap/2025"/>
    <n v="20251231"/>
    <n v="4"/>
    <s v="USD"/>
    <s v=""/>
    <s v=""/>
    <n v="1.75"/>
  </r>
  <r>
    <x v="240"/>
    <x v="3"/>
    <s v="us-gaap/2025"/>
    <n v="20251231"/>
    <n v="4"/>
    <s v="USD"/>
    <s v=""/>
    <s v=""/>
    <n v="2.4700000000000002"/>
  </r>
  <r>
    <x v="239"/>
    <x v="5"/>
    <s v="us-gaap/2025"/>
    <n v="20251231"/>
    <n v="0"/>
    <s v="USD"/>
    <s v=""/>
    <s v=""/>
    <n v="104788000"/>
  </r>
  <r>
    <x v="241"/>
    <x v="2"/>
    <s v="us-gaap/2025"/>
    <n v="20251231"/>
    <n v="4"/>
    <s v="USD"/>
    <s v=""/>
    <s v=""/>
    <n v="118397000"/>
  </r>
  <r>
    <x v="242"/>
    <x v="1"/>
    <s v="us-gaap/2025"/>
    <n v="20251231"/>
    <n v="0"/>
    <s v="USD"/>
    <s v=""/>
    <s v=""/>
    <n v="8485162000"/>
  </r>
  <r>
    <x v="242"/>
    <x v="2"/>
    <s v="us-gaap/2025"/>
    <n v="20251231"/>
    <n v="4"/>
    <s v="USD"/>
    <s v=""/>
    <s v=""/>
    <n v="467769000"/>
  </r>
  <r>
    <x v="243"/>
    <x v="3"/>
    <s v="us-gaap/2025"/>
    <n v="20251231"/>
    <n v="4"/>
    <s v="USD"/>
    <s v=""/>
    <s v=""/>
    <n v="1.72"/>
  </r>
  <r>
    <x v="243"/>
    <x v="5"/>
    <s v="us-gaap/2025"/>
    <n v="20251231"/>
    <n v="0"/>
    <s v="USD"/>
    <s v=""/>
    <s v=""/>
    <n v="227893000"/>
  </r>
  <r>
    <x v="253"/>
    <x v="1"/>
    <s v="us-gaap/2025"/>
    <n v="20251231"/>
    <n v="0"/>
    <s v="USD"/>
    <s v=""/>
    <s v=""/>
    <n v="4768400000"/>
  </r>
  <r>
    <x v="247"/>
    <x v="4"/>
    <s v="us-gaap/2025"/>
    <n v="20251231"/>
    <n v="4"/>
    <s v="USD"/>
    <s v=""/>
    <s v=""/>
    <n v="21836000"/>
  </r>
  <r>
    <x v="249"/>
    <x v="0"/>
    <s v="us-gaap/2025"/>
    <n v="20251231"/>
    <n v="0"/>
    <s v="USD"/>
    <s v=""/>
    <s v=""/>
    <n v="3456800000"/>
  </r>
  <r>
    <x v="251"/>
    <x v="0"/>
    <s v="us-gaap/2025"/>
    <n v="20251231"/>
    <n v="0"/>
    <s v="USD"/>
    <s v=""/>
    <s v=""/>
    <n v="8075372000"/>
  </r>
  <r>
    <x v="252"/>
    <x v="0"/>
    <s v="us-gaap/2025"/>
    <n v="20251231"/>
    <n v="0"/>
    <s v="USD"/>
    <s v=""/>
    <s v=""/>
    <n v="783940000"/>
  </r>
  <r>
    <x v="252"/>
    <x v="4"/>
    <s v="us-gaap/2025"/>
    <n v="20251231"/>
    <n v="4"/>
    <s v="USD"/>
    <s v=""/>
    <s v=""/>
    <n v="16091000"/>
  </r>
  <r>
    <x v="256"/>
    <x v="1"/>
    <s v="us-gaap/2025"/>
    <n v="20251231"/>
    <n v="0"/>
    <s v="USD"/>
    <s v=""/>
    <s v=""/>
    <n v="57706053000"/>
  </r>
  <r>
    <x v="256"/>
    <x v="3"/>
    <s v="us-gaap/2025"/>
    <n v="20251231"/>
    <n v="4"/>
    <s v="USD"/>
    <s v=""/>
    <s v=""/>
    <n v="8.15"/>
  </r>
  <r>
    <x v="256"/>
    <x v="4"/>
    <s v="us-gaap/2025"/>
    <n v="20251231"/>
    <n v="4"/>
    <s v="USD"/>
    <s v=""/>
    <s v=""/>
    <n v="64186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D683E-8E08-4292-8DD4-C7FF7519D171}" name="financials_wid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63" firstHeaderRow="1" firstDataRow="2" firstDataCol="1"/>
  <pivotFields count="9">
    <pivotField axis="axisRow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3"/>
        <item x="16"/>
        <item x="14"/>
        <item x="17"/>
        <item x="20"/>
        <item x="18"/>
        <item x="19"/>
        <item x="24"/>
        <item x="21"/>
        <item x="50"/>
        <item x="33"/>
        <item x="22"/>
        <item x="23"/>
        <item x="36"/>
        <item x="25"/>
        <item x="37"/>
        <item x="38"/>
        <item x="39"/>
        <item x="40"/>
        <item x="41"/>
        <item x="45"/>
        <item x="26"/>
        <item x="27"/>
        <item x="28"/>
        <item x="29"/>
        <item x="47"/>
        <item x="30"/>
        <item x="31"/>
        <item x="32"/>
        <item x="34"/>
        <item x="48"/>
        <item x="35"/>
        <item x="49"/>
        <item x="42"/>
        <item x="43"/>
        <item x="44"/>
        <item x="46"/>
        <item x="51"/>
        <item x="54"/>
        <item x="63"/>
        <item x="57"/>
        <item x="52"/>
        <item x="53"/>
        <item x="55"/>
        <item x="56"/>
        <item x="61"/>
        <item x="59"/>
        <item x="58"/>
        <item x="71"/>
        <item x="67"/>
        <item x="60"/>
        <item x="72"/>
        <item x="62"/>
        <item x="64"/>
        <item x="65"/>
        <item x="66"/>
        <item x="68"/>
        <item x="69"/>
        <item x="70"/>
        <item x="74"/>
        <item x="73"/>
        <item x="82"/>
        <item x="80"/>
        <item x="75"/>
        <item x="76"/>
        <item x="77"/>
        <item x="78"/>
        <item x="87"/>
        <item x="79"/>
        <item x="81"/>
        <item x="83"/>
        <item x="84"/>
        <item x="88"/>
        <item x="86"/>
        <item x="85"/>
        <item x="89"/>
        <item x="90"/>
        <item x="93"/>
        <item x="94"/>
        <item x="91"/>
        <item x="92"/>
        <item x="125"/>
        <item x="95"/>
        <item x="96"/>
        <item x="97"/>
        <item x="99"/>
        <item x="98"/>
        <item x="100"/>
        <item x="115"/>
        <item x="103"/>
        <item x="101"/>
        <item x="102"/>
        <item x="104"/>
        <item x="119"/>
        <item x="106"/>
        <item x="105"/>
        <item x="107"/>
        <item x="108"/>
        <item x="110"/>
        <item x="109"/>
        <item x="112"/>
        <item x="133"/>
        <item x="113"/>
        <item x="111"/>
        <item x="114"/>
        <item x="117"/>
        <item x="116"/>
        <item x="118"/>
        <item x="131"/>
        <item x="158"/>
        <item x="120"/>
        <item x="121"/>
        <item x="122"/>
        <item x="123"/>
        <item x="124"/>
        <item x="126"/>
        <item x="127"/>
        <item x="132"/>
        <item x="128"/>
        <item x="129"/>
        <item x="130"/>
        <item x="134"/>
        <item x="147"/>
        <item x="135"/>
        <item x="136"/>
        <item x="137"/>
        <item x="138"/>
        <item x="139"/>
        <item x="144"/>
        <item x="146"/>
        <item x="140"/>
        <item x="152"/>
        <item x="141"/>
        <item x="142"/>
        <item x="143"/>
        <item x="145"/>
        <item x="148"/>
        <item x="149"/>
        <item x="163"/>
        <item x="162"/>
        <item x="150"/>
        <item x="151"/>
        <item x="153"/>
        <item x="159"/>
        <item x="154"/>
        <item x="160"/>
        <item x="161"/>
        <item x="155"/>
        <item x="165"/>
        <item x="156"/>
        <item x="157"/>
        <item x="164"/>
        <item x="170"/>
        <item x="167"/>
        <item x="166"/>
        <item x="168"/>
        <item x="171"/>
        <item x="172"/>
        <item x="169"/>
        <item x="173"/>
        <item x="174"/>
        <item x="175"/>
        <item x="178"/>
        <item x="176"/>
        <item x="177"/>
        <item x="181"/>
        <item x="179"/>
        <item x="180"/>
        <item x="202"/>
        <item x="192"/>
        <item x="182"/>
        <item x="183"/>
        <item x="203"/>
        <item x="184"/>
        <item x="194"/>
        <item x="204"/>
        <item x="185"/>
        <item x="210"/>
        <item x="195"/>
        <item x="186"/>
        <item x="196"/>
        <item x="205"/>
        <item x="197"/>
        <item x="187"/>
        <item x="198"/>
        <item x="188"/>
        <item x="189"/>
        <item x="199"/>
        <item x="190"/>
        <item x="191"/>
        <item x="200"/>
        <item x="206"/>
        <item x="193"/>
        <item x="208"/>
        <item x="212"/>
        <item x="209"/>
        <item x="201"/>
        <item x="207"/>
        <item x="211"/>
        <item x="215"/>
        <item x="218"/>
        <item x="213"/>
        <item x="214"/>
        <item x="216"/>
        <item x="217"/>
        <item x="227"/>
        <item x="219"/>
        <item x="220"/>
        <item x="222"/>
        <item x="221"/>
        <item x="225"/>
        <item x="228"/>
        <item x="223"/>
        <item x="224"/>
        <item x="226"/>
        <item x="229"/>
        <item x="257"/>
        <item x="232"/>
        <item x="230"/>
        <item x="233"/>
        <item x="231"/>
        <item x="234"/>
        <item x="235"/>
        <item x="244"/>
        <item x="236"/>
        <item x="237"/>
        <item x="240"/>
        <item x="248"/>
        <item x="238"/>
        <item x="239"/>
        <item x="241"/>
        <item x="242"/>
        <item x="243"/>
        <item x="245"/>
        <item x="246"/>
        <item x="253"/>
        <item x="247"/>
        <item x="249"/>
        <item x="251"/>
        <item x="250"/>
        <item x="252"/>
        <item x="254"/>
        <item x="255"/>
        <item x="256"/>
        <item t="default"/>
      </items>
    </pivotField>
    <pivotField axis="axisCol" showAll="0">
      <items count="8">
        <item x="1"/>
        <item x="3"/>
        <item x="2"/>
        <item x="6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val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6631E8-2167-4BC4-AD4A-4D042558D98A}" autoFormatId="16" applyNumberFormats="0" applyBorderFormats="0" applyFontFormats="0" applyPatternFormats="0" applyAlignmentFormats="0" applyWidthHeightFormats="0">
  <queryTableRefresh nextId="8">
    <queryTableFields count="7">
      <queryTableField id="1" name="adsh" tableColumnId="1"/>
      <queryTableField id="2" name="cik" tableColumnId="2"/>
      <queryTableField id="3" name="name" tableColumnId="3"/>
      <queryTableField id="4" name="sic" tableColumnId="4"/>
      <queryTableField id="5" name="fye" tableColumnId="5"/>
      <queryTableField id="6" name="form" tableColumnId="6"/>
      <queryTableField id="7" name="perio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FEE6103-0C5D-41AB-A5AA-CDD0BE672617}" autoFormatId="16" applyNumberFormats="0" applyBorderFormats="0" applyFontFormats="0" applyPatternFormats="0" applyAlignmentFormats="0" applyWidthHeightFormats="0">
  <queryTableRefresh nextId="10">
    <queryTableFields count="9">
      <queryTableField id="1" name="adsh" tableColumnId="1"/>
      <queryTableField id="2" name="tag" tableColumnId="2"/>
      <queryTableField id="3" name="version" tableColumnId="3"/>
      <queryTableField id="4" name="ddate" tableColumnId="4"/>
      <queryTableField id="5" name="qtrs" tableColumnId="5"/>
      <queryTableField id="6" name="uom" tableColumnId="6"/>
      <queryTableField id="7" name="segments" tableColumnId="7"/>
      <queryTableField id="8" name="coreg" tableColumnId="8"/>
      <queryTableField id="9" name="val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29AED-2584-4A16-B8A7-FE22F161AC14}" name="companies" displayName="companies" ref="A1:G261" tableType="queryTable" totalsRowShown="0">
  <autoFilter ref="A1:G261" xr:uid="{5CE29AED-2584-4A16-B8A7-FE22F161AC14}"/>
  <tableColumns count="7">
    <tableColumn id="1" xr3:uid="{171DFA73-6665-4664-833C-D29E14ADB1B4}" uniqueName="1" name="adsh" queryTableFieldId="1" dataDxfId="10"/>
    <tableColumn id="2" xr3:uid="{64EAA89D-F19B-46FE-A73C-3DC836B9D05B}" uniqueName="2" name="cik" queryTableFieldId="2"/>
    <tableColumn id="3" xr3:uid="{4591E7F8-7FCC-446C-B1CF-0E7EFCFA7DE4}" uniqueName="3" name="name" queryTableFieldId="3" dataDxfId="9"/>
    <tableColumn id="4" xr3:uid="{214B91C8-E375-48B0-8157-DEE70B6F736C}" uniqueName="4" name="sic" queryTableFieldId="4"/>
    <tableColumn id="5" xr3:uid="{505798E5-2115-4DD5-9161-AFA5ABB6F11B}" uniqueName="5" name="fye" queryTableFieldId="5"/>
    <tableColumn id="6" xr3:uid="{03A73183-BBC1-46E3-B97D-A926C258E464}" uniqueName="6" name="form" queryTableFieldId="6" dataDxfId="8"/>
    <tableColumn id="7" xr3:uid="{F87B1CCA-7B94-47ED-9EFA-787E9215CACD}" uniqueName="7" name="perio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8383A-C778-4D5B-A68C-EAF735AC29D8}" name="financials" displayName="financials" ref="A1:I1520" tableType="queryTable" totalsRowShown="0">
  <autoFilter ref="A1:I1520" xr:uid="{F5B8383A-C778-4D5B-A68C-EAF735AC29D8}"/>
  <tableColumns count="9">
    <tableColumn id="1" xr3:uid="{7E80C36E-B091-4161-87FA-1C3E6B3FF594}" uniqueName="1" name="adsh" queryTableFieldId="1" dataDxfId="7"/>
    <tableColumn id="2" xr3:uid="{FA15D49E-1466-4C68-B55F-CAC5F636AF39}" uniqueName="2" name="tag" queryTableFieldId="2" dataDxfId="6"/>
    <tableColumn id="3" xr3:uid="{5D0EEAA9-E6CE-4D1B-AA1B-2E9D55C34FC2}" uniqueName="3" name="version" queryTableFieldId="3" dataDxfId="5"/>
    <tableColumn id="4" xr3:uid="{7A6CE9EC-001B-4133-B65C-C7F4703EBD17}" uniqueName="4" name="ddate" queryTableFieldId="4"/>
    <tableColumn id="5" xr3:uid="{CB63AD02-770E-4599-A39C-E7CAA677B69D}" uniqueName="5" name="qtrs" queryTableFieldId="5"/>
    <tableColumn id="6" xr3:uid="{CE3CFE5D-F9C4-4159-BAFE-091308A8D1A5}" uniqueName="6" name="uom" queryTableFieldId="6" dataDxfId="4"/>
    <tableColumn id="7" xr3:uid="{9C9C9E75-3DFC-4E64-804C-48D61EAA31A7}" uniqueName="7" name="segments" queryTableFieldId="7" dataDxfId="3"/>
    <tableColumn id="8" xr3:uid="{D465F79A-50FB-4EB1-BD60-8DC3DEA5E83D}" uniqueName="8" name="coreg" queryTableFieldId="8" dataDxfId="2"/>
    <tableColumn id="9" xr3:uid="{70FF6DD3-4FC6-4D33-8662-C07D699D9AA5}" uniqueName="9" name="valu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FABE-5680-4F01-AD7C-ED20EA4A6CBA}">
  <dimension ref="A1:W43"/>
  <sheetViews>
    <sheetView tabSelected="1" workbookViewId="0">
      <selection activeCell="C26" sqref="C26"/>
    </sheetView>
  </sheetViews>
  <sheetFormatPr defaultRowHeight="15" x14ac:dyDescent="0.25"/>
  <cols>
    <col min="1" max="1" width="18" bestFit="1" customWidth="1"/>
    <col min="2" max="2" width="20.42578125" customWidth="1"/>
    <col min="3" max="3" width="11.5703125" customWidth="1"/>
    <col min="4" max="4" width="18" customWidth="1"/>
    <col min="5" max="5" width="38.5703125" customWidth="1"/>
  </cols>
  <sheetData>
    <row r="1" spans="1:23" x14ac:dyDescent="0.25">
      <c r="A1" s="11"/>
      <c r="B1" s="12"/>
      <c r="C1" s="12"/>
      <c r="D1" s="12"/>
      <c r="E1" s="12"/>
      <c r="F1" s="12"/>
      <c r="G1" s="4"/>
      <c r="H1" s="4"/>
      <c r="I1" s="4"/>
      <c r="J1" s="5"/>
      <c r="K1" s="4"/>
      <c r="L1" s="4"/>
      <c r="M1" s="4"/>
      <c r="N1" s="4"/>
      <c r="O1" s="5"/>
      <c r="P1" s="19"/>
      <c r="Q1" s="19"/>
      <c r="R1" s="19"/>
      <c r="S1" s="19"/>
      <c r="T1" s="19"/>
      <c r="U1" s="19"/>
      <c r="V1" s="19"/>
      <c r="W1" s="19"/>
    </row>
    <row r="2" spans="1:23" x14ac:dyDescent="0.25">
      <c r="A2" s="20"/>
      <c r="B2" s="15" t="s">
        <v>570</v>
      </c>
      <c r="C2" s="15" t="s">
        <v>571</v>
      </c>
      <c r="D2" s="15" t="s">
        <v>558</v>
      </c>
      <c r="E2" s="15" t="s">
        <v>573</v>
      </c>
      <c r="F2" s="16"/>
      <c r="G2" s="21"/>
      <c r="H2" s="21"/>
      <c r="I2" s="21"/>
      <c r="J2" s="22"/>
      <c r="K2" s="7"/>
      <c r="L2" s="7"/>
      <c r="M2" s="7"/>
      <c r="N2" s="7"/>
      <c r="O2" s="8"/>
      <c r="P2" s="19"/>
      <c r="Q2" s="19"/>
      <c r="R2" s="19"/>
      <c r="S2" s="19"/>
      <c r="T2" s="19"/>
      <c r="U2" s="19"/>
      <c r="V2" s="19"/>
      <c r="W2" s="19"/>
    </row>
    <row r="3" spans="1:23" x14ac:dyDescent="0.25">
      <c r="A3" s="20"/>
      <c r="B3" s="16">
        <f>_xlfn.AGGREGATE(1,6,dashboard_data_raw!M2:M261)</f>
        <v>9.5979048601826964</v>
      </c>
      <c r="C3" s="17">
        <f>_xlfn.AGGREGATE(1,6,dashboard_data_raw!N2:N261)</f>
        <v>9.5468342165163193E-3</v>
      </c>
      <c r="D3" s="16">
        <f>_xlfn.AGGREGATE(9,6,dashboard_data_raw!F2:F261)</f>
        <v>21171198608467</v>
      </c>
      <c r="E3" s="16">
        <f>COUNTIF(dashboard_data_raw!$M$2:$M$261,"&gt;10")</f>
        <v>90</v>
      </c>
      <c r="F3" s="16"/>
      <c r="G3" s="21"/>
      <c r="H3" s="21"/>
      <c r="I3" s="21"/>
      <c r="J3" s="22"/>
      <c r="K3" s="7"/>
      <c r="L3" s="7"/>
      <c r="M3" s="7"/>
      <c r="N3" s="7"/>
      <c r="O3" s="7"/>
      <c r="P3" s="7"/>
      <c r="Q3" s="7"/>
      <c r="R3" s="19"/>
      <c r="S3" s="19"/>
      <c r="T3" s="19"/>
      <c r="U3" s="19"/>
      <c r="V3" s="19"/>
      <c r="W3" s="19"/>
    </row>
    <row r="4" spans="1:23" x14ac:dyDescent="0.25">
      <c r="A4" s="13"/>
      <c r="B4" s="14"/>
      <c r="C4" s="14"/>
      <c r="D4" s="14"/>
      <c r="E4" s="14"/>
      <c r="F4" s="14"/>
      <c r="G4" s="7"/>
      <c r="H4" s="7"/>
      <c r="I4" s="7"/>
      <c r="J4" s="8"/>
      <c r="K4" s="7"/>
      <c r="L4" s="7"/>
      <c r="M4" s="7"/>
      <c r="N4" s="7"/>
      <c r="O4" s="7"/>
      <c r="P4" s="7"/>
      <c r="Q4" s="7"/>
      <c r="R4" s="19"/>
      <c r="S4" s="19"/>
      <c r="T4" s="19"/>
      <c r="U4" s="19"/>
      <c r="V4" s="19"/>
      <c r="W4" s="19"/>
    </row>
    <row r="5" spans="1:23" x14ac:dyDescent="0.25">
      <c r="A5" s="18" t="s">
        <v>574</v>
      </c>
      <c r="B5" s="15" t="s">
        <v>569</v>
      </c>
      <c r="C5" s="14"/>
      <c r="D5" s="14"/>
      <c r="E5" s="14"/>
      <c r="F5" s="14"/>
      <c r="G5" s="7"/>
      <c r="H5" s="7"/>
      <c r="I5" s="7"/>
      <c r="J5" s="8"/>
      <c r="K5" s="7"/>
      <c r="L5" s="7"/>
      <c r="M5" s="7"/>
      <c r="N5" s="7"/>
      <c r="O5" s="7"/>
      <c r="P5" s="7"/>
      <c r="Q5" s="7"/>
      <c r="R5" s="19"/>
      <c r="S5" s="19"/>
      <c r="T5" s="19"/>
      <c r="U5" s="19"/>
      <c r="V5" s="19"/>
      <c r="W5" s="19"/>
    </row>
    <row r="6" spans="1:23" x14ac:dyDescent="0.25">
      <c r="A6" s="18" t="s">
        <v>570</v>
      </c>
      <c r="B6" s="16" cm="1">
        <f t="array" ref="B6">SUMPRODUCT((dashboard_data_raw!$O$2:$O$261=$B$5)*IFERROR(dashboard_data_raw!$M$2:$M$261,0)) / SUMPRODUCT((dashboard_data_raw!$O$2:$O$261=$B$5)*ISNUMBER(dashboard_data_raw!$M$2:$M$261))</f>
        <v>10.783984384725843</v>
      </c>
      <c r="C6" s="14"/>
      <c r="D6" s="14"/>
      <c r="E6" s="14"/>
      <c r="F6" s="14"/>
      <c r="G6" s="7"/>
      <c r="H6" s="7"/>
      <c r="I6" s="7"/>
      <c r="J6" s="8"/>
      <c r="K6" s="7"/>
      <c r="L6" s="7"/>
      <c r="M6" s="7"/>
      <c r="N6" s="7"/>
      <c r="O6" s="7"/>
      <c r="P6" s="7"/>
      <c r="Q6" s="7"/>
      <c r="R6" s="19"/>
      <c r="S6" s="19"/>
      <c r="T6" s="19"/>
      <c r="U6" s="19"/>
      <c r="V6" s="19"/>
      <c r="W6" s="19"/>
    </row>
    <row r="7" spans="1:23" x14ac:dyDescent="0.25">
      <c r="A7" s="18" t="s">
        <v>571</v>
      </c>
      <c r="B7" s="16" cm="1">
        <f t="array" ref="B7">SUMPRODUCT((dashboard_data_raw!$O$2:$O$261=$B$5)*IFERROR(dashboard_data_raw!$N$2:$N$261,0)) / SUMPRODUCT((dashboard_data_raw!$O$2:$O$261=$B$5)*ISNUMBER(dashboard_data_raw!$M$2:$M$261))</f>
        <v>8.4321465817893716E-3</v>
      </c>
      <c r="C7" s="14"/>
      <c r="D7" s="14"/>
      <c r="E7" s="14"/>
      <c r="F7" s="14"/>
      <c r="G7" s="7"/>
      <c r="H7" s="7"/>
      <c r="I7" s="7"/>
      <c r="J7" s="8"/>
      <c r="K7" s="7"/>
      <c r="L7" s="7"/>
      <c r="M7" s="7"/>
      <c r="N7" s="7"/>
      <c r="O7" s="7"/>
      <c r="P7" s="7"/>
      <c r="Q7" s="7"/>
      <c r="R7" s="19"/>
      <c r="S7" s="19"/>
      <c r="T7" s="19"/>
      <c r="U7" s="19"/>
      <c r="V7" s="19"/>
      <c r="W7" s="19"/>
    </row>
    <row r="8" spans="1:23" x14ac:dyDescent="0.25">
      <c r="A8" s="18" t="s">
        <v>572</v>
      </c>
      <c r="B8" s="16">
        <f>COUNTIFS(dashboard_data_raw!$O$2:$O$261,$B$5)</f>
        <v>65</v>
      </c>
      <c r="C8" s="14"/>
      <c r="D8" s="14"/>
      <c r="E8" s="14"/>
      <c r="F8" s="14"/>
      <c r="G8" s="7"/>
      <c r="H8" s="7"/>
      <c r="I8" s="7"/>
      <c r="J8" s="8"/>
      <c r="K8" s="7"/>
      <c r="L8" s="7"/>
      <c r="M8" s="7"/>
      <c r="N8" s="7"/>
      <c r="O8" s="7"/>
      <c r="P8" s="7"/>
      <c r="Q8" s="7"/>
      <c r="R8" s="19"/>
      <c r="S8" s="19"/>
      <c r="T8" s="19"/>
      <c r="U8" s="19"/>
      <c r="V8" s="19"/>
      <c r="W8" s="19"/>
    </row>
    <row r="9" spans="1:23" x14ac:dyDescent="0.25">
      <c r="A9" s="13"/>
      <c r="B9" s="14"/>
      <c r="C9" s="14"/>
      <c r="D9" s="14"/>
      <c r="E9" s="14"/>
      <c r="F9" s="14"/>
      <c r="G9" s="7"/>
      <c r="H9" s="7"/>
      <c r="I9" s="7"/>
      <c r="J9" s="8"/>
      <c r="K9" s="7"/>
      <c r="L9" s="7"/>
      <c r="M9" s="7"/>
      <c r="N9" s="7"/>
      <c r="O9" s="7"/>
      <c r="P9" s="7"/>
      <c r="Q9" s="7"/>
      <c r="R9" s="19"/>
      <c r="S9" s="19"/>
      <c r="T9" s="19"/>
      <c r="U9" s="19"/>
      <c r="V9" s="19"/>
      <c r="W9" s="19"/>
    </row>
    <row r="10" spans="1:23" x14ac:dyDescent="0.25">
      <c r="A10" s="13"/>
      <c r="B10" s="14"/>
      <c r="C10" s="14"/>
      <c r="D10" s="14"/>
      <c r="E10" s="14"/>
      <c r="F10" s="14"/>
      <c r="G10" s="7"/>
      <c r="H10" s="7"/>
      <c r="I10" s="7"/>
      <c r="J10" s="8"/>
      <c r="K10" s="7"/>
      <c r="L10" s="7"/>
      <c r="M10" s="7"/>
      <c r="N10" s="7"/>
      <c r="O10" s="7"/>
      <c r="P10" s="7"/>
      <c r="Q10" s="7"/>
      <c r="R10" s="19"/>
      <c r="S10" s="19"/>
      <c r="T10" s="19"/>
      <c r="U10" s="19"/>
      <c r="V10" s="19"/>
      <c r="W10" s="19"/>
    </row>
    <row r="11" spans="1:23" x14ac:dyDescent="0.25">
      <c r="A11" s="13"/>
      <c r="B11" s="14"/>
      <c r="C11" s="14"/>
      <c r="D11" s="14"/>
      <c r="E11" s="14"/>
      <c r="F11" s="14"/>
      <c r="G11" s="7"/>
      <c r="H11" s="7"/>
      <c r="I11" s="7"/>
      <c r="J11" s="8"/>
      <c r="K11" s="7"/>
      <c r="L11" s="7"/>
      <c r="M11" s="7"/>
      <c r="N11" s="7"/>
      <c r="O11" s="7"/>
      <c r="P11" s="7"/>
      <c r="Q11" s="7"/>
      <c r="R11" s="19"/>
      <c r="S11" s="19"/>
      <c r="T11" s="19"/>
      <c r="U11" s="19"/>
      <c r="V11" s="19"/>
      <c r="W11" s="19"/>
    </row>
    <row r="12" spans="1:23" x14ac:dyDescent="0.25">
      <c r="A12" s="13"/>
      <c r="B12" s="14"/>
      <c r="C12" s="14"/>
      <c r="D12" s="14"/>
      <c r="E12" s="14"/>
      <c r="F12" s="14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19"/>
      <c r="S12" s="19"/>
      <c r="T12" s="19"/>
      <c r="U12" s="19"/>
      <c r="V12" s="19"/>
      <c r="W12" s="19"/>
    </row>
    <row r="13" spans="1:23" x14ac:dyDescent="0.25">
      <c r="A13" s="13"/>
      <c r="B13" s="14"/>
      <c r="C13" s="14"/>
      <c r="D13" s="14"/>
      <c r="E13" s="14"/>
      <c r="F13" s="14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19"/>
      <c r="S13" s="19"/>
      <c r="T13" s="19"/>
      <c r="U13" s="19"/>
      <c r="V13" s="19"/>
      <c r="W13" s="19"/>
    </row>
    <row r="14" spans="1:23" x14ac:dyDescent="0.25">
      <c r="A14" s="13"/>
      <c r="B14" s="14"/>
      <c r="C14" s="14"/>
      <c r="D14" s="14"/>
      <c r="E14" s="14"/>
      <c r="F14" s="14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19"/>
      <c r="S14" s="19"/>
      <c r="T14" s="19"/>
      <c r="U14" s="19"/>
      <c r="V14" s="19"/>
      <c r="W14" s="19"/>
    </row>
    <row r="15" spans="1:23" x14ac:dyDescent="0.25">
      <c r="A15" s="6"/>
      <c r="B15" s="7"/>
      <c r="C15" s="7"/>
      <c r="D15" s="7"/>
      <c r="E15" s="7"/>
      <c r="F15" s="7"/>
      <c r="G15" s="7"/>
      <c r="H15" s="7"/>
      <c r="I15" s="7"/>
      <c r="J15" s="8"/>
      <c r="K15" s="7"/>
      <c r="L15" s="7"/>
      <c r="M15" s="7"/>
      <c r="N15" s="7"/>
      <c r="O15" s="7"/>
      <c r="P15" s="7"/>
      <c r="Q15" s="7"/>
      <c r="R15" s="19"/>
      <c r="S15" s="19"/>
      <c r="T15" s="19"/>
      <c r="U15" s="19"/>
      <c r="V15" s="19"/>
      <c r="W15" s="19"/>
    </row>
    <row r="16" spans="1:23" x14ac:dyDescent="0.25">
      <c r="A16" s="6"/>
      <c r="B16" s="7"/>
      <c r="C16" s="7"/>
      <c r="D16" s="7"/>
      <c r="E16" s="7"/>
      <c r="F16" s="7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19"/>
      <c r="S16" s="19"/>
      <c r="T16" s="19"/>
      <c r="U16" s="19"/>
      <c r="V16" s="19"/>
      <c r="W16" s="19"/>
    </row>
    <row r="17" spans="1:23" x14ac:dyDescent="0.25">
      <c r="A17" s="6"/>
      <c r="B17" s="7"/>
      <c r="C17" s="7"/>
      <c r="D17" s="7"/>
      <c r="E17" s="7"/>
      <c r="F17" s="7"/>
      <c r="G17" s="7"/>
      <c r="H17" s="7"/>
      <c r="I17" s="7"/>
      <c r="J17" s="8"/>
      <c r="K17" s="7"/>
      <c r="L17" s="7"/>
      <c r="M17" s="7"/>
      <c r="N17" s="7"/>
      <c r="O17" s="7"/>
      <c r="P17" s="7"/>
      <c r="Q17" s="7"/>
      <c r="R17" s="19"/>
      <c r="S17" s="19"/>
      <c r="T17" s="19"/>
      <c r="U17" s="19"/>
      <c r="V17" s="19"/>
      <c r="W17" s="19"/>
    </row>
    <row r="18" spans="1:23" x14ac:dyDescent="0.25">
      <c r="A18" s="6"/>
      <c r="B18" s="7"/>
      <c r="C18" s="7"/>
      <c r="D18" s="7"/>
      <c r="E18" s="7"/>
      <c r="F18" s="7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19"/>
      <c r="S18" s="19"/>
      <c r="T18" s="19"/>
      <c r="U18" s="19"/>
      <c r="V18" s="19"/>
      <c r="W18" s="19"/>
    </row>
    <row r="19" spans="1:23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19"/>
      <c r="S19" s="19"/>
      <c r="T19" s="19"/>
      <c r="U19" s="19"/>
      <c r="V19" s="19"/>
      <c r="W19" s="19"/>
    </row>
    <row r="20" spans="1:23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7"/>
      <c r="L20" s="7"/>
      <c r="M20" s="7"/>
      <c r="N20" s="7"/>
      <c r="O20" s="7"/>
      <c r="P20" s="7"/>
      <c r="Q20" s="7"/>
      <c r="R20" s="19"/>
      <c r="S20" s="19"/>
      <c r="T20" s="19"/>
      <c r="U20" s="19"/>
      <c r="V20" s="19"/>
      <c r="W20" s="19"/>
    </row>
    <row r="21" spans="1:23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9"/>
      <c r="S21" s="19"/>
      <c r="T21" s="19"/>
      <c r="U21" s="19"/>
      <c r="V21" s="19"/>
      <c r="W21" s="19"/>
    </row>
    <row r="22" spans="1:23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9"/>
      <c r="S22" s="19"/>
      <c r="T22" s="19"/>
      <c r="U22" s="19"/>
      <c r="V22" s="19"/>
      <c r="W22" s="19"/>
    </row>
    <row r="23" spans="1:23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9"/>
      <c r="S23" s="19"/>
      <c r="T23" s="19"/>
      <c r="U23" s="19"/>
      <c r="V23" s="19"/>
      <c r="W23" s="19"/>
    </row>
    <row r="24" spans="1:2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19"/>
      <c r="S24" s="19"/>
      <c r="T24" s="19"/>
      <c r="U24" s="19"/>
      <c r="V24" s="19"/>
      <c r="W24" s="19"/>
    </row>
    <row r="25" spans="1:2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9"/>
      <c r="S25" s="19"/>
      <c r="T25" s="19"/>
      <c r="U25" s="19"/>
      <c r="V25" s="19"/>
      <c r="W25" s="19"/>
    </row>
    <row r="26" spans="1:2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9"/>
      <c r="S26" s="19"/>
      <c r="T26" s="19"/>
      <c r="U26" s="19"/>
      <c r="V26" s="19"/>
      <c r="W26" s="19"/>
    </row>
    <row r="27" spans="1:2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9"/>
      <c r="S27" s="19"/>
      <c r="T27" s="19"/>
      <c r="U27" s="19"/>
      <c r="V27" s="19"/>
      <c r="W27" s="19"/>
    </row>
    <row r="28" spans="1:2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19"/>
      <c r="S28" s="19"/>
      <c r="T28" s="19"/>
      <c r="U28" s="19"/>
      <c r="V28" s="19"/>
      <c r="W28" s="19"/>
    </row>
    <row r="29" spans="1:23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19"/>
      <c r="S29" s="19"/>
      <c r="T29" s="19"/>
      <c r="U29" s="19"/>
      <c r="V29" s="19"/>
      <c r="W29" s="19"/>
    </row>
    <row r="30" spans="1:2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19"/>
      <c r="S30" s="19"/>
      <c r="T30" s="19"/>
      <c r="U30" s="19"/>
      <c r="V30" s="19"/>
      <c r="W30" s="19"/>
    </row>
    <row r="31" spans="1:2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19"/>
      <c r="S31" s="19"/>
      <c r="T31" s="19"/>
      <c r="U31" s="19"/>
      <c r="V31" s="19"/>
      <c r="W31" s="19"/>
    </row>
    <row r="32" spans="1:2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19"/>
      <c r="S32" s="19"/>
      <c r="T32" s="19"/>
      <c r="U32" s="19"/>
      <c r="V32" s="19"/>
      <c r="W32" s="19"/>
    </row>
    <row r="33" spans="1:23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19"/>
      <c r="S33" s="19"/>
      <c r="T33" s="19"/>
      <c r="U33" s="19"/>
      <c r="V33" s="19"/>
      <c r="W33" s="19"/>
    </row>
    <row r="34" spans="1:23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7"/>
      <c r="N34" s="7"/>
      <c r="O34" s="7"/>
      <c r="P34" s="7"/>
      <c r="Q34" s="7"/>
      <c r="R34" s="19"/>
      <c r="S34" s="19"/>
      <c r="T34" s="19"/>
      <c r="U34" s="19"/>
      <c r="V34" s="19"/>
      <c r="W34" s="19"/>
    </row>
    <row r="35" spans="1:23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3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</sheetData>
  <dataValidations disablePrompts="1" count="1">
    <dataValidation type="list" allowBlank="1" showInputMessage="1" showErrorMessage="1" sqref="B5" xr:uid="{DEC6F86D-6563-4C8E-AC88-5B88F97396D1}">
      <formula1>"Small,Mid,Large"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98C1-D4CA-4118-9464-61BC708A02EE}">
  <dimension ref="A1:F3"/>
  <sheetViews>
    <sheetView workbookViewId="0">
      <selection activeCell="C22" sqref="C22"/>
    </sheetView>
  </sheetViews>
  <sheetFormatPr defaultRowHeight="15" x14ac:dyDescent="0.25"/>
  <cols>
    <col min="1" max="1" width="25" customWidth="1"/>
    <col min="3" max="3" width="11.5703125" customWidth="1"/>
    <col min="4" max="4" width="14.42578125" customWidth="1"/>
    <col min="5" max="5" width="15" customWidth="1"/>
    <col min="6" max="6" width="12" bestFit="1" customWidth="1"/>
  </cols>
  <sheetData>
    <row r="1" spans="1:6" x14ac:dyDescent="0.25">
      <c r="C1" t="s">
        <v>558</v>
      </c>
      <c r="D1" t="s">
        <v>559</v>
      </c>
      <c r="E1" t="s">
        <v>560</v>
      </c>
      <c r="F1" t="s">
        <v>561</v>
      </c>
    </row>
    <row r="2" spans="1:6" x14ac:dyDescent="0.25">
      <c r="A2" t="s">
        <v>563</v>
      </c>
      <c r="B2">
        <v>6022</v>
      </c>
      <c r="C2">
        <f>SUMIF(dashboard_data_raw!B2:B261, B2, dashboard_data_raw!F2:F261)</f>
        <v>3936318289521</v>
      </c>
      <c r="D2">
        <f>SUMIF(dashboard_data_raw!B2:B261, B2, dashboard_data_raw!I2:I261)</f>
        <v>3518135159589</v>
      </c>
      <c r="E2">
        <f>C2-D2</f>
        <v>418183129932</v>
      </c>
      <c r="F2">
        <f>AVERAGEIF(dashboard_data_raw!B2:B261, B2, dashboard_data_raw!G2:G261)</f>
        <v>4.1703409090909096</v>
      </c>
    </row>
    <row r="3" spans="1:6" x14ac:dyDescent="0.25">
      <c r="A3" t="s">
        <v>562</v>
      </c>
      <c r="B3">
        <v>6021</v>
      </c>
      <c r="C3">
        <f>SUMIF(dashboard_data_raw!B3:B262, B3, dashboard_data_raw!F3:F262)</f>
        <v>17234880318946</v>
      </c>
      <c r="D3">
        <f>SUMIF(dashboard_data_raw!B3:B262, B3, dashboard_data_raw!I3:I262)</f>
        <v>15637356524968</v>
      </c>
      <c r="E3">
        <f>C3-D3</f>
        <v>1597523793978</v>
      </c>
      <c r="F3">
        <f>AVERAGEIF(dashboard_data_raw!B3:B262, B3, dashboard_data_raw!G3:G262)</f>
        <v>5.3752439024390259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1"/>
  <sheetViews>
    <sheetView topLeftCell="N1" zoomScale="106" zoomScaleNormal="106" workbookViewId="0">
      <selection activeCell="P16" sqref="P16"/>
    </sheetView>
  </sheetViews>
  <sheetFormatPr defaultRowHeight="15" x14ac:dyDescent="0.25"/>
  <cols>
    <col min="3" max="3" width="40.5703125" customWidth="1"/>
    <col min="5" max="5" width="21.85546875" customWidth="1"/>
    <col min="6" max="6" width="11" bestFit="1" customWidth="1"/>
    <col min="7" max="7" width="9.5703125" customWidth="1"/>
    <col min="8" max="8" width="10.7109375" bestFit="1" customWidth="1"/>
    <col min="9" max="10" width="9.42578125" customWidth="1"/>
    <col min="11" max="11" width="14.5703125" customWidth="1"/>
    <col min="12" max="12" width="20.140625" customWidth="1"/>
    <col min="13" max="13" width="22.28515625" customWidth="1"/>
    <col min="16" max="16" width="13" customWidth="1"/>
    <col min="17" max="17" width="15.5703125" customWidth="1"/>
    <col min="18" max="18" width="26.42578125" customWidth="1"/>
    <col min="19" max="19" width="12.85546875" bestFit="1" customWidth="1"/>
  </cols>
  <sheetData>
    <row r="1" spans="1:20" x14ac:dyDescent="0.25">
      <c r="A1" t="s">
        <v>551</v>
      </c>
      <c r="B1" t="s">
        <v>552</v>
      </c>
      <c r="C1" t="s">
        <v>553</v>
      </c>
      <c r="D1" t="s">
        <v>554</v>
      </c>
      <c r="E1" t="s">
        <v>0</v>
      </c>
      <c r="F1" t="s">
        <v>540</v>
      </c>
      <c r="G1" t="s">
        <v>555</v>
      </c>
      <c r="H1" t="s">
        <v>556</v>
      </c>
      <c r="I1" t="s">
        <v>536</v>
      </c>
      <c r="J1" t="s">
        <v>557</v>
      </c>
      <c r="K1" t="s">
        <v>543</v>
      </c>
      <c r="L1" t="s">
        <v>544</v>
      </c>
      <c r="M1" t="s">
        <v>564</v>
      </c>
      <c r="N1" t="s">
        <v>565</v>
      </c>
      <c r="O1" t="s">
        <v>568</v>
      </c>
      <c r="P1" t="s">
        <v>566</v>
      </c>
      <c r="Q1" t="s">
        <v>567</v>
      </c>
      <c r="R1" t="s">
        <v>577</v>
      </c>
      <c r="S1" t="s">
        <v>576</v>
      </c>
      <c r="T1" t="s">
        <v>575</v>
      </c>
    </row>
    <row r="2" spans="1:20" x14ac:dyDescent="0.25">
      <c r="A2">
        <v>1</v>
      </c>
      <c r="B2" cm="1">
        <f t="array" ref="B2:B261">_xlfn.XLOOKUP(companies[adsh], companies[adsh], companies[sic])</f>
        <v>6022</v>
      </c>
      <c r="C2" t="str" cm="1">
        <f t="array" ref="C2:C261">_xlfn.XLOOKUP(companies[adsh], companies[adsh], companies[name])</f>
        <v>INDEPENDENT BANK CORP /MI/</v>
      </c>
      <c r="D2" cm="1">
        <f t="array" ref="D2:D261">_xlfn.XLOOKUP(companies[adsh], companies[adsh], companies[cik])</f>
        <v>39311</v>
      </c>
      <c r="E2" t="str" cm="1">
        <f t="array" ref="E2:E261">_xlfn.XLOOKUP(companies[adsh], companies[adsh], companies[adsh])</f>
        <v>0000039311-26-000009</v>
      </c>
      <c r="F2">
        <f>IFERROR(GETPIVOTDATA("value", financials_wide!$A$3, "adsh", $E2, "tag", "Assets"),"")</f>
        <v>5505720000</v>
      </c>
      <c r="G2">
        <f>IFERROR(GETPIVOTDATA("value", financials_wide!$A$3, "adsh", $E2, "tag", "EarningsPerShareBasic"),"")</f>
        <v>3.3</v>
      </c>
      <c r="H2">
        <f>IFERROR(IFERROR(GETPIVOTDATA("value", financials_wide!$A$3, "adsh", $E2, "tag", "InterestAndDividendIncomeOperating"), GETPIVOTDATA("value", financials_wide!$A$3, "adsh", $E2, "tag", "InterestIncomeOperating")),"")</f>
        <v>269737000</v>
      </c>
      <c r="I2">
        <f>IFERROR(GETPIVOTDATA("value", financials_wide!$A$3, "adsh", $E2, "tag", "Liabilities"),"")</f>
        <v>5002769000</v>
      </c>
      <c r="J2">
        <f>IFERROR(F2-I2,"")</f>
        <v>502951000</v>
      </c>
      <c r="K2">
        <f>IFERROR(GETPIVOTDATA("value", financials_wide!$A$3, "adsh", $E2, "tag", "NetIncomeLoss"),"")</f>
        <v>68541000</v>
      </c>
      <c r="L2">
        <f>IFERROR(GETPIVOTDATA("value", financials_wide!$A$3, "adsh", $E2, "tag", "StockholdersEquity"),"")</f>
        <v>502951000</v>
      </c>
      <c r="M2">
        <f>IFERROR(F2/L2,NA())</f>
        <v>10.946831798723931</v>
      </c>
      <c r="N2" s="3">
        <f>IFERROR(K2/F2,NA())</f>
        <v>1.2449052984895709E-2</v>
      </c>
      <c r="O2" t="str">
        <f>IF(F2="","",IF(F2&lt;=$P$2,"Small",IF(F2&lt;=$Q$2,"Mid","Large")))</f>
        <v>Mid</v>
      </c>
      <c r="P2">
        <f>_xlfn.QUARTILE.INC(F2:F261,1)</f>
        <v>2652513750</v>
      </c>
      <c r="Q2">
        <f>_xlfn.QUARTILE.INC(F2:F261,3)</f>
        <v>19369930250</v>
      </c>
      <c r="R2" t="str">
        <f>INDEX($C$2:$C$261,MATCH(S2,$K$2:$K$261,0))</f>
        <v>JPMORGAN CHASE &amp; CO</v>
      </c>
      <c r="S2">
        <f>LARGE($K$2:$K$261,ROW()-1)</f>
        <v>57048000000</v>
      </c>
      <c r="T2">
        <v>1</v>
      </c>
    </row>
    <row r="3" spans="1:20" x14ac:dyDescent="0.25">
      <c r="A3">
        <v>2</v>
      </c>
      <c r="B3">
        <v>6022</v>
      </c>
      <c r="C3" t="str">
        <v>HORIZON BANCORP INC /IN/</v>
      </c>
      <c r="D3">
        <v>706129</v>
      </c>
      <c r="E3" t="str">
        <v>0000706129-26-000024</v>
      </c>
      <c r="F3">
        <f>IFERROR(GETPIVOTDATA("value", financials_wide!$A$3, "adsh", $E3, "tag", "Assets"),"")</f>
        <v>6436611000</v>
      </c>
      <c r="G3">
        <f>IFERROR(GETPIVOTDATA("value", financials_wide!$A$3, "adsh", $E3, "tag", "EarningsPerShareBasic"),"")</f>
        <v>-3.24</v>
      </c>
      <c r="H3">
        <f>IFERROR(IFERROR(GETPIVOTDATA("value", financials_wide!$A$3, "adsh", $E3, "tag", "InterestAndDividendIncomeOperating"), GETPIVOTDATA("value", financials_wide!$A$3, "adsh", $E3, "tag", "InterestIncomeOperating")),"")</f>
        <v>362777000</v>
      </c>
      <c r="I3">
        <f>IFERROR(GETPIVOTDATA("value", financials_wide!$A$3, "adsh", $E3, "tag", "Liabilities"),"")</f>
        <v>5748360000</v>
      </c>
      <c r="J3">
        <f t="shared" ref="J3:J66" si="0">IFERROR(F3-I3,"")</f>
        <v>688251000</v>
      </c>
      <c r="K3">
        <f>IFERROR(GETPIVOTDATA("value", financials_wide!$A$3, "adsh", $E3, "tag", "NetIncomeLoss"),"")</f>
        <v>-150482000</v>
      </c>
      <c r="L3">
        <f>IFERROR(GETPIVOTDATA("value", financials_wide!$A$3, "adsh", $E3, "tag", "StockholdersEquity"),"")</f>
        <v>688251000</v>
      </c>
      <c r="M3">
        <f t="shared" ref="M3:M66" si="1">IFERROR(F3/L3,NA())</f>
        <v>9.352127348888704</v>
      </c>
      <c r="N3" s="3">
        <f t="shared" ref="N3:N66" si="2">IFERROR(K3/F3,NA())</f>
        <v>-2.3379073242114523E-2</v>
      </c>
      <c r="O3" t="str">
        <f t="shared" ref="O3:O66" si="3">IF(F3="","",IF(F3&lt;=$P$2,"Small",IF(F3&lt;=$Q$2,"Mid","Large")))</f>
        <v>Mid</v>
      </c>
      <c r="R3" t="str">
        <f t="shared" ref="R3:R16" si="4">INDEX($C$2:$C$261,MATCH(S3,$K$2:$K$261,0))</f>
        <v>BANK OF AMERICA CORP /DE/</v>
      </c>
      <c r="S3">
        <f t="shared" ref="S3:S16" si="5">LARGE($K$2:$K$261,ROW()-1)</f>
        <v>30509000000</v>
      </c>
      <c r="T3">
        <v>2</v>
      </c>
    </row>
    <row r="4" spans="1:20" x14ac:dyDescent="0.25">
      <c r="A4">
        <v>3</v>
      </c>
      <c r="B4">
        <v>6022</v>
      </c>
      <c r="C4" t="str">
        <v>UNION BANKSHARES INC</v>
      </c>
      <c r="D4">
        <v>706863</v>
      </c>
      <c r="E4" t="str">
        <v>0000706863-26-000029</v>
      </c>
      <c r="F4">
        <f>IFERROR(GETPIVOTDATA("value", financials_wide!$A$3, "adsh", $E4, "tag", "Assets"),"")</f>
        <v>1617191000</v>
      </c>
      <c r="G4">
        <f>IFERROR(GETPIVOTDATA("value", financials_wide!$A$3, "adsh", $E4, "tag", "EarningsPerShareBasic"),"")</f>
        <v>2.4300000000000002</v>
      </c>
      <c r="H4">
        <f>IFERROR(IFERROR(GETPIVOTDATA("value", financials_wide!$A$3, "adsh", $E4, "tag", "InterestAndDividendIncomeOperating"), GETPIVOTDATA("value", financials_wide!$A$3, "adsh", $E4, "tag", "InterestIncomeOperating")),"")</f>
        <v>75788000</v>
      </c>
      <c r="I4">
        <f>IFERROR(GETPIVOTDATA("value", financials_wide!$A$3, "adsh", $E4, "tag", "Liabilities"),"")</f>
        <v>1536327000</v>
      </c>
      <c r="J4">
        <f t="shared" si="0"/>
        <v>80864000</v>
      </c>
      <c r="K4">
        <f>IFERROR(GETPIVOTDATA("value", financials_wide!$A$3, "adsh", $E4, "tag", "NetIncomeLoss"),"")</f>
        <v>11080000</v>
      </c>
      <c r="L4">
        <f>IFERROR(GETPIVOTDATA("value", financials_wide!$A$3, "adsh", $E4, "tag", "StockholdersEquity"),"")</f>
        <v>80864000</v>
      </c>
      <c r="M4">
        <f t="shared" si="1"/>
        <v>19.998899386624455</v>
      </c>
      <c r="N4" s="3">
        <f t="shared" si="2"/>
        <v>6.8513861380628512E-3</v>
      </c>
      <c r="O4" t="str">
        <f t="shared" si="3"/>
        <v>Small</v>
      </c>
      <c r="R4" t="str">
        <f t="shared" si="4"/>
        <v>WELLS FARGO &amp; COMPANY/MN</v>
      </c>
      <c r="S4">
        <f t="shared" si="5"/>
        <v>21338000000</v>
      </c>
      <c r="T4">
        <v>3</v>
      </c>
    </row>
    <row r="5" spans="1:20" x14ac:dyDescent="0.25">
      <c r="A5">
        <v>4</v>
      </c>
      <c r="B5">
        <v>6022</v>
      </c>
      <c r="C5" t="str">
        <v>COLONY BANKCORP INC</v>
      </c>
      <c r="D5">
        <v>711669</v>
      </c>
      <c r="E5" t="str">
        <v>0000711669-26-000007</v>
      </c>
      <c r="F5">
        <f>IFERROR(GETPIVOTDATA("value", financials_wide!$A$3, "adsh", $E5, "tag", "Assets"),"")</f>
        <v>3735401000</v>
      </c>
      <c r="G5">
        <f>IFERROR(GETPIVOTDATA("value", financials_wide!$A$3, "adsh", $E5, "tag", "EarningsPerShareBasic"),"")</f>
        <v>1.59</v>
      </c>
      <c r="H5">
        <f>IFERROR(IFERROR(GETPIVOTDATA("value", financials_wide!$A$3, "adsh", $E5, "tag", "InterestAndDividendIncomeOperating"), GETPIVOTDATA("value", financials_wide!$A$3, "adsh", $E5, "tag", "InterestIncomeOperating")),"")</f>
        <v>149952000</v>
      </c>
      <c r="I5">
        <f>IFERROR(GETPIVOTDATA("value", financials_wide!$A$3, "adsh", $E5, "tag", "Liabilities"),"")</f>
        <v>3359481000</v>
      </c>
      <c r="J5">
        <f t="shared" si="0"/>
        <v>375920000</v>
      </c>
      <c r="K5">
        <f>IFERROR(GETPIVOTDATA("value", financials_wide!$A$3, "adsh", $E5, "tag", "NetIncomeLoss"),"")</f>
        <v>28253000</v>
      </c>
      <c r="L5">
        <f>IFERROR(GETPIVOTDATA("value", financials_wide!$A$3, "adsh", $E5, "tag", "StockholdersEquity"),"")</f>
        <v>375920000</v>
      </c>
      <c r="M5">
        <f t="shared" si="1"/>
        <v>9.9366913173015536</v>
      </c>
      <c r="N5" s="3">
        <f t="shared" si="2"/>
        <v>7.5635788500351096E-3</v>
      </c>
      <c r="O5" t="str">
        <f t="shared" si="3"/>
        <v>Mid</v>
      </c>
      <c r="R5" t="str">
        <f t="shared" si="4"/>
        <v>CITIGROUP INC</v>
      </c>
      <c r="S5">
        <f t="shared" si="5"/>
        <v>14306000000</v>
      </c>
      <c r="T5">
        <v>4</v>
      </c>
    </row>
    <row r="6" spans="1:20" x14ac:dyDescent="0.25">
      <c r="A6">
        <v>5</v>
      </c>
      <c r="B6">
        <v>6022</v>
      </c>
      <c r="C6" t="str">
        <v>FIRST FINANCIAL CORP /IN/</v>
      </c>
      <c r="D6">
        <v>714562</v>
      </c>
      <c r="E6" t="str">
        <v>0000714562-26-000014</v>
      </c>
      <c r="F6">
        <f>IFERROR(GETPIVOTDATA("value", financials_wide!$A$3, "adsh", $E6, "tag", "Assets"),"")</f>
        <v>5756126000</v>
      </c>
      <c r="G6">
        <f>IFERROR(GETPIVOTDATA("value", financials_wide!$A$3, "adsh", $E6, "tag", "EarningsPerShareBasic"),"")</f>
        <v>6.68</v>
      </c>
      <c r="H6">
        <f>IFERROR(IFERROR(GETPIVOTDATA("value", financials_wide!$A$3, "adsh", $E6, "tag", "InterestAndDividendIncomeOperating"), GETPIVOTDATA("value", financials_wide!$A$3, "adsh", $E6, "tag", "InterestIncomeOperating")),"")</f>
        <v>305588000</v>
      </c>
      <c r="I6">
        <f>IFERROR(GETPIVOTDATA("value", financials_wide!$A$3, "adsh", $E6, "tag", "Liabilities"),"")</f>
        <v>5105257000</v>
      </c>
      <c r="J6">
        <f t="shared" si="0"/>
        <v>650869000</v>
      </c>
      <c r="K6">
        <f>IFERROR(GETPIVOTDATA("value", financials_wide!$A$3, "adsh", $E6, "tag", "NetIncomeLoss"),"")</f>
        <v>79208000</v>
      </c>
      <c r="L6">
        <f>IFERROR(GETPIVOTDATA("value", financials_wide!$A$3, "adsh", $E6, "tag", "StockholdersEquity"),"")</f>
        <v>650869000</v>
      </c>
      <c r="M6">
        <f t="shared" si="1"/>
        <v>8.8437550413370438</v>
      </c>
      <c r="N6" s="3">
        <f t="shared" si="2"/>
        <v>1.3760643877496774E-2</v>
      </c>
      <c r="O6" t="str">
        <f t="shared" si="3"/>
        <v>Mid</v>
      </c>
      <c r="R6" t="str">
        <f t="shared" si="4"/>
        <v>US BANCORP DE</v>
      </c>
      <c r="S6">
        <f t="shared" si="5"/>
        <v>7570000000</v>
      </c>
      <c r="T6">
        <v>5</v>
      </c>
    </row>
    <row r="7" spans="1:20" x14ac:dyDescent="0.25">
      <c r="A7">
        <v>6</v>
      </c>
      <c r="B7">
        <v>6021</v>
      </c>
      <c r="C7" t="str">
        <v>ARROW FINANCIAL CORP</v>
      </c>
      <c r="D7">
        <v>717538</v>
      </c>
      <c r="E7" t="str">
        <v>0000717538-26-000037</v>
      </c>
      <c r="F7">
        <f>IFERROR(GETPIVOTDATA("value", financials_wide!$A$3, "adsh", $E7, "tag", "Assets"),"")</f>
        <v>4445862000</v>
      </c>
      <c r="G7">
        <f>IFERROR(GETPIVOTDATA("value", financials_wide!$A$3, "adsh", $E7, "tag", "EarningsPerShareBasic"),"")</f>
        <v>2.65</v>
      </c>
      <c r="H7">
        <f>IFERROR(IFERROR(GETPIVOTDATA("value", financials_wide!$A$3, "adsh", $E7, "tag", "InterestAndDividendIncomeOperating"), GETPIVOTDATA("value", financials_wide!$A$3, "adsh", $E7, "tag", "InterestIncomeOperating")),"")</f>
        <v>0</v>
      </c>
      <c r="I7">
        <f>IFERROR(GETPIVOTDATA("value", financials_wide!$A$3, "adsh", $E7, "tag", "Liabilities"),"")</f>
        <v>4014010000</v>
      </c>
      <c r="J7">
        <f t="shared" si="0"/>
        <v>431852000</v>
      </c>
      <c r="K7">
        <f>IFERROR(GETPIVOTDATA("value", financials_wide!$A$3, "adsh", $E7, "tag", "NetIncomeLoss"),"")</f>
        <v>43953000</v>
      </c>
      <c r="L7">
        <f>IFERROR(GETPIVOTDATA("value", financials_wide!$A$3, "adsh", $E7, "tag", "StockholdersEquity"),"")</f>
        <v>431852000</v>
      </c>
      <c r="M7">
        <f t="shared" si="1"/>
        <v>10.294874169854488</v>
      </c>
      <c r="N7" s="3">
        <f t="shared" si="2"/>
        <v>9.8862717736178038E-3</v>
      </c>
      <c r="O7" t="str">
        <f t="shared" si="3"/>
        <v>Mid</v>
      </c>
      <c r="R7" t="str">
        <f t="shared" si="4"/>
        <v>BANK OF NEW YORK MELLON CORP</v>
      </c>
      <c r="S7">
        <f t="shared" si="5"/>
        <v>5549000000</v>
      </c>
      <c r="T7">
        <v>6</v>
      </c>
    </row>
    <row r="8" spans="1:20" x14ac:dyDescent="0.25">
      <c r="A8">
        <v>7</v>
      </c>
      <c r="B8">
        <v>6022</v>
      </c>
      <c r="C8" t="str">
        <v>FRANKLIN FINANCIAL SERVICES CORP /PA/</v>
      </c>
      <c r="D8">
        <v>723646</v>
      </c>
      <c r="E8" t="str">
        <v>0000723646-26-000016</v>
      </c>
      <c r="F8">
        <f>IFERROR(GETPIVOTDATA("value", financials_wide!$A$3, "adsh", $E8, "tag", "Assets"),"")</f>
        <v>2239018000</v>
      </c>
      <c r="G8">
        <f>IFERROR(GETPIVOTDATA("value", financials_wide!$A$3, "adsh", $E8, "tag", "EarningsPerShareBasic"),"")</f>
        <v>4.76</v>
      </c>
      <c r="H8">
        <f>IFERROR(IFERROR(GETPIVOTDATA("value", financials_wide!$A$3, "adsh", $E8, "tag", "InterestAndDividendIncomeOperating"), GETPIVOTDATA("value", financials_wide!$A$3, "adsh", $E8, "tag", "InterestIncomeOperating")),"")</f>
        <v>114371000</v>
      </c>
      <c r="I8">
        <f>IFERROR(GETPIVOTDATA("value", financials_wide!$A$3, "adsh", $E8, "tag", "Liabilities"),"")</f>
        <v>2063776000</v>
      </c>
      <c r="J8">
        <f t="shared" si="0"/>
        <v>175242000</v>
      </c>
      <c r="K8">
        <f>IFERROR(GETPIVOTDATA("value", financials_wide!$A$3, "adsh", $E8, "tag", "NetIncomeLoss"),"")</f>
        <v>21226000</v>
      </c>
      <c r="L8">
        <f>IFERROR(GETPIVOTDATA("value", financials_wide!$A$3, "adsh", $E8, "tag", "StockholdersEquity"),"")</f>
        <v>175242000</v>
      </c>
      <c r="M8">
        <f t="shared" si="1"/>
        <v>12.776720192647881</v>
      </c>
      <c r="N8" s="3">
        <f t="shared" si="2"/>
        <v>9.4800488428409234E-3</v>
      </c>
      <c r="O8" t="str">
        <f t="shared" si="3"/>
        <v>Small</v>
      </c>
      <c r="R8" t="str">
        <f t="shared" si="4"/>
        <v>STATE STREET CORP</v>
      </c>
      <c r="S8">
        <f t="shared" si="5"/>
        <v>2945000000</v>
      </c>
      <c r="T8">
        <v>7</v>
      </c>
    </row>
    <row r="9" spans="1:20" x14ac:dyDescent="0.25">
      <c r="A9">
        <v>8</v>
      </c>
      <c r="B9">
        <v>6022</v>
      </c>
      <c r="C9" t="str">
        <v>HILLS BANCORPORATION</v>
      </c>
      <c r="D9">
        <v>732417</v>
      </c>
      <c r="E9" t="str">
        <v>0000732417-26-000022</v>
      </c>
      <c r="F9">
        <f>IFERROR(GETPIVOTDATA("value", financials_wide!$A$3, "adsh", $E9, "tag", "Assets"),"")</f>
        <v>4647870000</v>
      </c>
      <c r="G9">
        <f>IFERROR(GETPIVOTDATA("value", financials_wide!$A$3, "adsh", $E9, "tag", "EarningsPerShareBasic"),"")</f>
        <v>6.82</v>
      </c>
      <c r="H9">
        <f>IFERROR(IFERROR(GETPIVOTDATA("value", financials_wide!$A$3, "adsh", $E9, "tag", "InterestAndDividendIncomeOperating"), GETPIVOTDATA("value", financials_wide!$A$3, "adsh", $E9, "tag", "InterestIncomeOperating")),"")</f>
        <v>0</v>
      </c>
      <c r="I9">
        <f>IFERROR(GETPIVOTDATA("value", financials_wide!$A$3, "adsh", $E9, "tag", "Liabilities"),"")</f>
        <v>4045161000</v>
      </c>
      <c r="J9">
        <f t="shared" si="0"/>
        <v>602709000</v>
      </c>
      <c r="K9">
        <f>IFERROR(GETPIVOTDATA("value", financials_wide!$A$3, "adsh", $E9, "tag", "NetIncomeLoss"),"")</f>
        <v>60502000</v>
      </c>
      <c r="L9">
        <f>IFERROR(GETPIVOTDATA("value", financials_wide!$A$3, "adsh", $E9, "tag", "StockholdersEquity"),"")</f>
        <v>548234000</v>
      </c>
      <c r="M9">
        <f t="shared" si="1"/>
        <v>8.4778944757165728</v>
      </c>
      <c r="N9" s="3">
        <f t="shared" si="2"/>
        <v>1.3017145488148335E-2</v>
      </c>
      <c r="O9" t="str">
        <f t="shared" si="3"/>
        <v>Mid</v>
      </c>
      <c r="R9" t="str">
        <f t="shared" si="4"/>
        <v>M&amp;T BANK CORP</v>
      </c>
      <c r="S9">
        <f t="shared" si="5"/>
        <v>2851000000</v>
      </c>
      <c r="T9">
        <v>8</v>
      </c>
    </row>
    <row r="10" spans="1:20" x14ac:dyDescent="0.25">
      <c r="A10">
        <v>9</v>
      </c>
      <c r="B10">
        <v>6022</v>
      </c>
      <c r="C10" t="str">
        <v>CNB FINANCIAL CORP/PA</v>
      </c>
      <c r="D10">
        <v>736772</v>
      </c>
      <c r="E10" t="str">
        <v>0000736772-26-000031</v>
      </c>
      <c r="F10">
        <f>IFERROR(GETPIVOTDATA("value", financials_wide!$A$3, "adsh", $E10, "tag", "Assets"),"")</f>
        <v>8396435000</v>
      </c>
      <c r="G10">
        <f>IFERROR(GETPIVOTDATA("value", financials_wide!$A$3, "adsh", $E10, "tag", "EarningsPerShareBasic"),"")</f>
        <v>2.5</v>
      </c>
      <c r="H10">
        <f>IFERROR(IFERROR(GETPIVOTDATA("value", financials_wide!$A$3, "adsh", $E10, "tag", "InterestAndDividendIncomeOperating"), GETPIVOTDATA("value", financials_wide!$A$3, "adsh", $E10, "tag", "InterestIncomeOperating")),"")</f>
        <v>392345000</v>
      </c>
      <c r="I10">
        <f>IFERROR(GETPIVOTDATA("value", financials_wide!$A$3, "adsh", $E10, "tag", "Liabilities"),"")</f>
        <v>7524308000</v>
      </c>
      <c r="J10">
        <f t="shared" si="0"/>
        <v>872127000</v>
      </c>
      <c r="K10">
        <f>IFERROR(GETPIVOTDATA("value", financials_wide!$A$3, "adsh", $E10, "tag", "NetIncomeLoss"),"")</f>
        <v>66131000</v>
      </c>
      <c r="L10">
        <f>IFERROR(GETPIVOTDATA("value", financials_wide!$A$3, "adsh", $E10, "tag", "StockholdersEquity"),"")</f>
        <v>872127000</v>
      </c>
      <c r="M10">
        <f t="shared" si="1"/>
        <v>9.6275370444900794</v>
      </c>
      <c r="N10" s="3">
        <f t="shared" si="2"/>
        <v>7.8760807414098959E-3</v>
      </c>
      <c r="O10" t="str">
        <f t="shared" si="3"/>
        <v>Mid</v>
      </c>
      <c r="R10" t="str">
        <f t="shared" si="4"/>
        <v>FIFTH THIRD BANCORP</v>
      </c>
      <c r="S10">
        <f t="shared" si="5"/>
        <v>2522000000</v>
      </c>
      <c r="T10">
        <v>9</v>
      </c>
    </row>
    <row r="11" spans="1:20" x14ac:dyDescent="0.25">
      <c r="A11">
        <v>10</v>
      </c>
      <c r="B11">
        <v>6022</v>
      </c>
      <c r="C11" t="str">
        <v>FIRST KEYSTONE CORP</v>
      </c>
      <c r="D11">
        <v>737875</v>
      </c>
      <c r="E11" t="str">
        <v>0000737875-26-000009</v>
      </c>
      <c r="F11">
        <f>IFERROR(GETPIVOTDATA("value", financials_wide!$A$3, "adsh", $E11, "tag", "Assets"),"")</f>
        <v>1530977000</v>
      </c>
      <c r="G11">
        <f>IFERROR(GETPIVOTDATA("value", financials_wide!$A$3, "adsh", $E11, "tag", "EarningsPerShareBasic"),"")</f>
        <v>0.99</v>
      </c>
      <c r="H11">
        <f>IFERROR(IFERROR(GETPIVOTDATA("value", financials_wide!$A$3, "adsh", $E11, "tag", "InterestAndDividendIncomeOperating"), GETPIVOTDATA("value", financials_wide!$A$3, "adsh", $E11, "tag", "InterestIncomeOperating")),"")</f>
        <v>77199000</v>
      </c>
      <c r="I11">
        <f>IFERROR(GETPIVOTDATA("value", financials_wide!$A$3, "adsh", $E11, "tag", "Liabilities"),"")</f>
        <v>1417917000</v>
      </c>
      <c r="J11">
        <f t="shared" si="0"/>
        <v>113060000</v>
      </c>
      <c r="K11">
        <f>IFERROR(GETPIVOTDATA("value", financials_wide!$A$3, "adsh", $E11, "tag", "NetIncomeLoss"),"")</f>
        <v>6152000</v>
      </c>
      <c r="L11">
        <f>IFERROR(GETPIVOTDATA("value", financials_wide!$A$3, "adsh", $E11, "tag", "StockholdersEquity"),"")</f>
        <v>113060000</v>
      </c>
      <c r="M11">
        <f t="shared" si="1"/>
        <v>13.541278966920219</v>
      </c>
      <c r="N11" s="3">
        <f t="shared" si="2"/>
        <v>4.0183490672949362E-3</v>
      </c>
      <c r="O11" t="str">
        <f t="shared" si="3"/>
        <v>Small</v>
      </c>
      <c r="R11" t="str">
        <f t="shared" si="4"/>
        <v>CAPITAL ONE FINANCIAL CORP</v>
      </c>
      <c r="S11">
        <f t="shared" si="5"/>
        <v>2453000000</v>
      </c>
      <c r="T11">
        <v>10</v>
      </c>
    </row>
    <row r="12" spans="1:20" x14ac:dyDescent="0.25">
      <c r="A12">
        <v>11</v>
      </c>
      <c r="B12">
        <v>6021</v>
      </c>
      <c r="C12" t="str">
        <v>CAMDEN NATIONAL CORP</v>
      </c>
      <c r="D12">
        <v>750686</v>
      </c>
      <c r="E12" t="str">
        <v>0000750686-26-000010</v>
      </c>
      <c r="F12">
        <f>IFERROR(GETPIVOTDATA("value", financials_wide!$A$3, "adsh", $E12, "tag", "Assets"),"")</f>
        <v>6974584000</v>
      </c>
      <c r="G12">
        <f>IFERROR(GETPIVOTDATA("value", financials_wide!$A$3, "adsh", $E12, "tag", "EarningsPerShareBasic"),"")</f>
        <v>3.86</v>
      </c>
      <c r="H12">
        <f>IFERROR(IFERROR(GETPIVOTDATA("value", financials_wide!$A$3, "adsh", $E12, "tag", "InterestAndDividendIncomeOperating"), GETPIVOTDATA("value", financials_wide!$A$3, "adsh", $E12, "tag", "InterestIncomeOperating")),"")</f>
        <v>320655000</v>
      </c>
      <c r="I12">
        <f>IFERROR(GETPIVOTDATA("value", financials_wide!$A$3, "adsh", $E12, "tag", "Liabilities"),"")</f>
        <v>6278026000</v>
      </c>
      <c r="J12">
        <f t="shared" si="0"/>
        <v>696558000</v>
      </c>
      <c r="K12">
        <f>IFERROR(GETPIVOTDATA("value", financials_wide!$A$3, "adsh", $E12, "tag", "NetIncomeLoss"),"")</f>
        <v>65160000</v>
      </c>
      <c r="L12">
        <f>IFERROR(GETPIVOTDATA("value", financials_wide!$A$3, "adsh", $E12, "tag", "StockholdersEquity"),"")</f>
        <v>696558000</v>
      </c>
      <c r="M12">
        <f t="shared" si="1"/>
        <v>10.012926418187718</v>
      </c>
      <c r="N12" s="3">
        <f t="shared" si="2"/>
        <v>9.3424926848683729E-3</v>
      </c>
      <c r="O12" t="str">
        <f t="shared" si="3"/>
        <v>Mid</v>
      </c>
      <c r="R12" t="str">
        <f t="shared" si="4"/>
        <v>HUNTINGTON BANCSHARES INC /MD/</v>
      </c>
      <c r="S12">
        <f t="shared" si="5"/>
        <v>2211000000</v>
      </c>
      <c r="T12">
        <v>11</v>
      </c>
    </row>
    <row r="13" spans="1:20" x14ac:dyDescent="0.25">
      <c r="A13">
        <v>12</v>
      </c>
      <c r="B13">
        <v>6021</v>
      </c>
      <c r="C13" t="str">
        <v>FIRST BANCORP, INC /ME/</v>
      </c>
      <c r="D13">
        <v>765207</v>
      </c>
      <c r="E13" t="str">
        <v>0000765207-26-000067</v>
      </c>
      <c r="F13">
        <f>IFERROR(GETPIVOTDATA("value", financials_wide!$A$3, "adsh", $E13, "tag", "Assets"),"")</f>
        <v>3166303000</v>
      </c>
      <c r="G13">
        <f>IFERROR(GETPIVOTDATA("value", financials_wide!$A$3, "adsh", $E13, "tag", "EarningsPerShareBasic"),"")</f>
        <v>3.1</v>
      </c>
      <c r="H13">
        <f>IFERROR(IFERROR(GETPIVOTDATA("value", financials_wide!$A$3, "adsh", $E13, "tag", "InterestAndDividendIncomeOperating"), GETPIVOTDATA("value", financials_wide!$A$3, "adsh", $E13, "tag", "InterestIncomeOperating")),"")</f>
        <v>160271000</v>
      </c>
      <c r="I13">
        <f>IFERROR(GETPIVOTDATA("value", financials_wide!$A$3, "adsh", $E13, "tag", "Liabilities"),"")</f>
        <v>2883160000</v>
      </c>
      <c r="J13">
        <f t="shared" si="0"/>
        <v>283143000</v>
      </c>
      <c r="K13">
        <f>IFERROR(GETPIVOTDATA("value", financials_wide!$A$3, "adsh", $E13, "tag", "NetIncomeLoss"),"")</f>
        <v>34394000</v>
      </c>
      <c r="L13">
        <f>IFERROR(GETPIVOTDATA("value", financials_wide!$A$3, "adsh", $E13, "tag", "StockholdersEquity"),"")</f>
        <v>283143000</v>
      </c>
      <c r="M13">
        <f t="shared" si="1"/>
        <v>11.182699201463571</v>
      </c>
      <c r="N13" s="3">
        <f t="shared" si="2"/>
        <v>1.08625106314841E-2</v>
      </c>
      <c r="O13" t="str">
        <f t="shared" si="3"/>
        <v>Mid</v>
      </c>
      <c r="R13" t="str">
        <f t="shared" si="4"/>
        <v>FIRST CITIZENS BANCSHARES INC /DE/</v>
      </c>
      <c r="S13">
        <f t="shared" si="5"/>
        <v>2206000000</v>
      </c>
      <c r="T13">
        <v>12</v>
      </c>
    </row>
    <row r="14" spans="1:20" x14ac:dyDescent="0.25">
      <c r="A14">
        <v>13</v>
      </c>
      <c r="B14">
        <v>6022</v>
      </c>
      <c r="C14" t="str">
        <v>HBT FINANCIAL, INC.</v>
      </c>
      <c r="D14">
        <v>775215</v>
      </c>
      <c r="E14" t="str">
        <v>0000775215-26-000025</v>
      </c>
      <c r="F14">
        <f>IFERROR(GETPIVOTDATA("value", financials_wide!$A$3, "adsh", $E14, "tag", "Assets"),"")</f>
        <v>5071390000</v>
      </c>
      <c r="G14">
        <f>IFERROR(GETPIVOTDATA("value", financials_wide!$A$3, "adsh", $E14, "tag", "EarningsPerShareBasic"),"")</f>
        <v>2.44</v>
      </c>
      <c r="H14">
        <f>IFERROR(IFERROR(GETPIVOTDATA("value", financials_wide!$A$3, "adsh", $E14, "tag", "InterestAndDividendIncomeOperating"), GETPIVOTDATA("value", financials_wide!$A$3, "adsh", $E14, "tag", "InterestIncomeOperating")),"")</f>
        <v>255784000</v>
      </c>
      <c r="I14">
        <f>IFERROR(GETPIVOTDATA("value", financials_wide!$A$3, "adsh", $E14, "tag", "Liabilities"),"")</f>
        <v>4455892000</v>
      </c>
      <c r="J14">
        <f t="shared" si="0"/>
        <v>615498000</v>
      </c>
      <c r="K14">
        <f>IFERROR(GETPIVOTDATA("value", financials_wide!$A$3, "adsh", $E14, "tag", "NetIncomeLoss"),"")</f>
        <v>77008000</v>
      </c>
      <c r="L14">
        <f>IFERROR(GETPIVOTDATA("value", financials_wide!$A$3, "adsh", $E14, "tag", "StockholdersEquity"),"")</f>
        <v>615498000</v>
      </c>
      <c r="M14">
        <f t="shared" si="1"/>
        <v>8.2394906238525554</v>
      </c>
      <c r="N14" s="3">
        <f t="shared" si="2"/>
        <v>1.5184791546301901E-2</v>
      </c>
      <c r="O14" t="str">
        <f t="shared" si="3"/>
        <v>Mid</v>
      </c>
      <c r="R14" t="str">
        <f t="shared" si="4"/>
        <v>REGIONS FINANCIAL CORP</v>
      </c>
      <c r="S14">
        <f t="shared" si="5"/>
        <v>2156000000</v>
      </c>
      <c r="T14">
        <v>13</v>
      </c>
    </row>
    <row r="15" spans="1:20" x14ac:dyDescent="0.25">
      <c r="A15">
        <v>14</v>
      </c>
      <c r="B15">
        <v>6022</v>
      </c>
      <c r="C15" t="str">
        <v>ISABELLA BANK CORP</v>
      </c>
      <c r="D15">
        <v>842517</v>
      </c>
      <c r="E15" t="str">
        <v>0000842517-26-000069</v>
      </c>
      <c r="F15">
        <f>IFERROR(GETPIVOTDATA("value", financials_wide!$A$3, "adsh", $E15, "tag", "Assets"),"")</f>
        <v>2209448000</v>
      </c>
      <c r="G15">
        <f>IFERROR(GETPIVOTDATA("value", financials_wide!$A$3, "adsh", $E15, "tag", "EarningsPerShareBasic"),"")</f>
        <v>2.56</v>
      </c>
      <c r="H15">
        <f>IFERROR(IFERROR(GETPIVOTDATA("value", financials_wide!$A$3, "adsh", $E15, "tag", "InterestAndDividendIncomeOperating"), GETPIVOTDATA("value", financials_wide!$A$3, "adsh", $E15, "tag", "InterestIncomeOperating")),"")</f>
        <v>96035000</v>
      </c>
      <c r="I15">
        <f>IFERROR(GETPIVOTDATA("value", financials_wide!$A$3, "adsh", $E15, "tag", "Liabilities"),"")</f>
        <v>1978052000</v>
      </c>
      <c r="J15">
        <f t="shared" si="0"/>
        <v>231396000</v>
      </c>
      <c r="K15">
        <f>IFERROR(GETPIVOTDATA("value", financials_wide!$A$3, "adsh", $E15, "tag", "NetIncomeLoss"),"")</f>
        <v>18910000</v>
      </c>
      <c r="L15">
        <f>IFERROR(GETPIVOTDATA("value", financials_wide!$A$3, "adsh", $E15, "tag", "StockholdersEquity"),"")</f>
        <v>231396000</v>
      </c>
      <c r="M15">
        <f t="shared" si="1"/>
        <v>9.5483413715016674</v>
      </c>
      <c r="N15" s="3">
        <f t="shared" si="2"/>
        <v>8.5586988243217307E-3</v>
      </c>
      <c r="O15" t="str">
        <f t="shared" si="3"/>
        <v>Small</v>
      </c>
      <c r="R15" t="str">
        <f t="shared" si="4"/>
        <v>CITIZENS FINANCIAL GROUP INC/RI</v>
      </c>
      <c r="S15">
        <f t="shared" si="5"/>
        <v>1831000000</v>
      </c>
      <c r="T15">
        <v>14</v>
      </c>
    </row>
    <row r="16" spans="1:20" x14ac:dyDescent="0.25">
      <c r="A16">
        <v>15</v>
      </c>
      <c r="B16">
        <v>6022</v>
      </c>
      <c r="C16" t="str">
        <v>MID PENN BANCORP INC</v>
      </c>
      <c r="D16">
        <v>879635</v>
      </c>
      <c r="E16" t="str">
        <v>0000879635-26-000026</v>
      </c>
      <c r="F16">
        <f>IFERROR(GETPIVOTDATA("value", financials_wide!$A$3, "adsh", $E16, "tag", "Assets"),"")</f>
        <v>6133896000</v>
      </c>
      <c r="G16">
        <f>IFERROR(GETPIVOTDATA("value", financials_wide!$A$3, "adsh", $E16, "tag", "EarningsPerShareBasic"),"")</f>
        <v>2.59</v>
      </c>
      <c r="H16">
        <f>IFERROR(IFERROR(GETPIVOTDATA("value", financials_wide!$A$3, "adsh", $E16, "tag", "InterestAndDividendIncomeOperating"), GETPIVOTDATA("value", financials_wide!$A$3, "adsh", $E16, "tag", "InterestIncomeOperating")),"")</f>
        <v>323770000</v>
      </c>
      <c r="I16">
        <f>IFERROR(GETPIVOTDATA("value", financials_wide!$A$3, "adsh", $E16, "tag", "Liabilities"),"")</f>
        <v>5319838000</v>
      </c>
      <c r="J16">
        <f t="shared" si="0"/>
        <v>814058000</v>
      </c>
      <c r="K16">
        <f>IFERROR(GETPIVOTDATA("value", financials_wide!$A$3, "adsh", $E16, "tag", "NetIncomeLoss"),"")</f>
        <v>56248000</v>
      </c>
      <c r="L16">
        <f>IFERROR(GETPIVOTDATA("value", financials_wide!$A$3, "adsh", $E16, "tag", "StockholdersEquity"),"")</f>
        <v>814058000</v>
      </c>
      <c r="M16">
        <f t="shared" si="1"/>
        <v>7.5349618823228814</v>
      </c>
      <c r="N16" s="3">
        <f t="shared" si="2"/>
        <v>9.1700283147937295E-3</v>
      </c>
      <c r="O16" t="str">
        <f t="shared" si="3"/>
        <v>Mid</v>
      </c>
      <c r="R16" t="str">
        <f t="shared" si="4"/>
        <v>KEYCORP /NEW/</v>
      </c>
      <c r="S16">
        <f t="shared" si="5"/>
        <v>1829000000</v>
      </c>
      <c r="T16">
        <v>15</v>
      </c>
    </row>
    <row r="17" spans="1:15" x14ac:dyDescent="0.25">
      <c r="A17">
        <v>16</v>
      </c>
      <c r="B17">
        <v>6022</v>
      </c>
      <c r="C17" t="str">
        <v>EAGLE FINANCIAL SERVICES INC</v>
      </c>
      <c r="D17">
        <v>880641</v>
      </c>
      <c r="E17" t="str">
        <v>0000880641-26-000004</v>
      </c>
      <c r="F17">
        <f>IFERROR(GETPIVOTDATA("value", financials_wide!$A$3, "adsh", $E17, "tag", "Assets"),"")</f>
        <v>1888626000</v>
      </c>
      <c r="G17">
        <f>IFERROR(GETPIVOTDATA("value", financials_wide!$A$3, "adsh", $E17, "tag", "EarningsPerShareBasic"),"")</f>
        <v>1.59</v>
      </c>
      <c r="H17">
        <f>IFERROR(IFERROR(GETPIVOTDATA("value", financials_wide!$A$3, "adsh", $E17, "tag", "InterestAndDividendIncomeOperating"), GETPIVOTDATA("value", financials_wide!$A$3, "adsh", $E17, "tag", "InterestIncomeOperating")),"")</f>
        <v>99005000</v>
      </c>
      <c r="I17">
        <f>IFERROR(GETPIVOTDATA("value", financials_wide!$A$3, "adsh", $E17, "tag", "Liabilities"),"")</f>
        <v>1699787000</v>
      </c>
      <c r="J17">
        <f t="shared" si="0"/>
        <v>188839000</v>
      </c>
      <c r="K17">
        <f>IFERROR(GETPIVOTDATA("value", financials_wide!$A$3, "adsh", $E17, "tag", "NetIncomeLoss"),"")</f>
        <v>8214000</v>
      </c>
      <c r="L17">
        <f>IFERROR(GETPIVOTDATA("value", financials_wide!$A$3, "adsh", $E17, "tag", "StockholdersEquity"),"")</f>
        <v>188839000</v>
      </c>
      <c r="M17">
        <f t="shared" si="1"/>
        <v>10.001249741843582</v>
      </c>
      <c r="N17" s="3">
        <f t="shared" si="2"/>
        <v>4.3491935407010173E-3</v>
      </c>
      <c r="O17" t="str">
        <f t="shared" si="3"/>
        <v>Small</v>
      </c>
    </row>
    <row r="18" spans="1:15" x14ac:dyDescent="0.25">
      <c r="A18">
        <v>17</v>
      </c>
      <c r="B18">
        <v>6021</v>
      </c>
      <c r="C18" t="str">
        <v>HAWTHORN BANCSHARES, INC.</v>
      </c>
      <c r="D18">
        <v>893847</v>
      </c>
      <c r="E18" t="str">
        <v>0000893847-26-000037</v>
      </c>
      <c r="F18">
        <f>IFERROR(GETPIVOTDATA("value", financials_wide!$A$3, "adsh", $E18, "tag", "Assets"),"")</f>
        <v>1894850000</v>
      </c>
      <c r="G18">
        <f>IFERROR(GETPIVOTDATA("value", financials_wide!$A$3, "adsh", $E18, "tag", "EarningsPerShareBasic"),"")</f>
        <v>3.44</v>
      </c>
      <c r="H18">
        <f>IFERROR(IFERROR(GETPIVOTDATA("value", financials_wide!$A$3, "adsh", $E18, "tag", "InterestAndDividendIncomeOperating"), GETPIVOTDATA("value", financials_wide!$A$3, "adsh", $E18, "tag", "InterestIncomeOperating")),"")</f>
        <v>97658000</v>
      </c>
      <c r="I18">
        <f>IFERROR(GETPIVOTDATA("value", financials_wide!$A$3, "adsh", $E18, "tag", "Liabilities"),"")</f>
        <v>1720621000</v>
      </c>
      <c r="J18">
        <f t="shared" si="0"/>
        <v>174229000</v>
      </c>
      <c r="K18">
        <f>IFERROR(GETPIVOTDATA("value", financials_wide!$A$3, "adsh", $E18, "tag", "NetIncomeLoss"),"")</f>
        <v>23801000</v>
      </c>
      <c r="L18">
        <f>IFERROR(GETPIVOTDATA("value", financials_wide!$A$3, "adsh", $E18, "tag", "StockholdersEquity"),"")</f>
        <v>174229000</v>
      </c>
      <c r="M18">
        <f t="shared" si="1"/>
        <v>10.875629200649719</v>
      </c>
      <c r="N18" s="3">
        <f t="shared" si="2"/>
        <v>1.2560888724701163E-2</v>
      </c>
      <c r="O18" t="str">
        <f t="shared" si="3"/>
        <v>Small</v>
      </c>
    </row>
    <row r="19" spans="1:15" x14ac:dyDescent="0.25">
      <c r="A19">
        <v>18</v>
      </c>
      <c r="B19">
        <v>6022</v>
      </c>
      <c r="C19" t="str">
        <v>C &amp; F FINANCIAL CORP</v>
      </c>
      <c r="D19">
        <v>913341</v>
      </c>
      <c r="E19" t="str">
        <v>0000913341-26-000010</v>
      </c>
      <c r="F19">
        <f>IFERROR(GETPIVOTDATA("value", financials_wide!$A$3, "adsh", $E19, "tag", "Assets"),"")</f>
        <v>2768494000</v>
      </c>
      <c r="G19">
        <f>IFERROR(GETPIVOTDATA("value", financials_wide!$A$3, "adsh", $E19, "tag", "EarningsPerShareBasic"),"")</f>
        <v>8.2899999999999991</v>
      </c>
      <c r="H19">
        <f>IFERROR(IFERROR(GETPIVOTDATA("value", financials_wide!$A$3, "adsh", $E19, "tag", "InterestAndDividendIncomeOperating"), GETPIVOTDATA("value", financials_wide!$A$3, "adsh", $E19, "tag", "InterestIncomeOperating")),"")</f>
        <v>151499000</v>
      </c>
      <c r="I19">
        <f>IFERROR(GETPIVOTDATA("value", financials_wide!$A$3, "adsh", $E19, "tag", "Liabilities"),"")</f>
        <v>2506146000</v>
      </c>
      <c r="J19">
        <f t="shared" si="0"/>
        <v>262348000</v>
      </c>
      <c r="K19">
        <f>IFERROR(GETPIVOTDATA("value", financials_wide!$A$3, "adsh", $E19, "tag", "NetIncomeLoss"),"")</f>
        <v>26835000</v>
      </c>
      <c r="L19">
        <f>IFERROR(GETPIVOTDATA("value", financials_wide!$A$3, "adsh", $E19, "tag", "StockholdersEquity"),"")</f>
        <v>261753000</v>
      </c>
      <c r="M19">
        <f t="shared" si="1"/>
        <v>10.576742195886963</v>
      </c>
      <c r="N19" s="3">
        <f t="shared" si="2"/>
        <v>9.6929955419805865E-3</v>
      </c>
      <c r="O19" t="str">
        <f t="shared" si="3"/>
        <v>Mid</v>
      </c>
    </row>
    <row r="20" spans="1:15" x14ac:dyDescent="0.25">
      <c r="A20">
        <v>19</v>
      </c>
      <c r="B20">
        <v>6022</v>
      </c>
      <c r="C20" t="str">
        <v>UNITY BANCORP INC /NJ/</v>
      </c>
      <c r="D20">
        <v>920427</v>
      </c>
      <c r="E20" t="str">
        <v>0000920427-26-000012</v>
      </c>
      <c r="F20">
        <f>IFERROR(GETPIVOTDATA("value", financials_wide!$A$3, "adsh", $E20, "tag", "Assets"),"")</f>
        <v>2966652000</v>
      </c>
      <c r="G20">
        <f>IFERROR(GETPIVOTDATA("value", financials_wide!$A$3, "adsh", $E20, "tag", "EarningsPerShareBasic"),"")</f>
        <v>5.78</v>
      </c>
      <c r="H20">
        <f>IFERROR(IFERROR(GETPIVOTDATA("value", financials_wide!$A$3, "adsh", $E20, "tag", "InterestAndDividendIncomeOperating"), GETPIVOTDATA("value", financials_wide!$A$3, "adsh", $E20, "tag", "InterestIncomeOperating")),"")</f>
        <v>173628000</v>
      </c>
      <c r="I20">
        <f>IFERROR(GETPIVOTDATA("value", financials_wide!$A$3, "adsh", $E20, "tag", "Liabilities"),"")</f>
        <v>2621021000</v>
      </c>
      <c r="J20">
        <f t="shared" si="0"/>
        <v>345631000</v>
      </c>
      <c r="K20">
        <f>IFERROR(GETPIVOTDATA("value", financials_wide!$A$3, "adsh", $E20, "tag", "NetIncomeLoss"),"")</f>
        <v>57951000</v>
      </c>
      <c r="L20">
        <f>IFERROR(GETPIVOTDATA("value", financials_wide!$A$3, "adsh", $E20, "tag", "StockholdersEquity"),"")</f>
        <v>345631000</v>
      </c>
      <c r="M20">
        <f t="shared" si="1"/>
        <v>8.5832925866024752</v>
      </c>
      <c r="N20" s="3">
        <f t="shared" si="2"/>
        <v>1.9534141517104128E-2</v>
      </c>
      <c r="O20" t="str">
        <f t="shared" si="3"/>
        <v>Mid</v>
      </c>
    </row>
    <row r="21" spans="1:15" x14ac:dyDescent="0.25">
      <c r="A21">
        <v>20</v>
      </c>
      <c r="B21">
        <v>6022</v>
      </c>
      <c r="C21" t="str">
        <v>NORWOOD FINANCIAL CORP</v>
      </c>
      <c r="D21">
        <v>1013272</v>
      </c>
      <c r="E21" t="str">
        <v>0001013272-26-000003</v>
      </c>
      <c r="F21">
        <f>IFERROR(GETPIVOTDATA("value", financials_wide!$A$3, "adsh", $E21, "tag", "Assets"),"")</f>
        <v>2424842000</v>
      </c>
      <c r="G21">
        <f>IFERROR(GETPIVOTDATA("value", financials_wide!$A$3, "adsh", $E21, "tag", "EarningsPerShareBasic"),"")</f>
        <v>3.01</v>
      </c>
      <c r="H21">
        <f>IFERROR(IFERROR(GETPIVOTDATA("value", financials_wide!$A$3, "adsh", $E21, "tag", "InterestAndDividendIncomeOperating"), GETPIVOTDATA("value", financials_wide!$A$3, "adsh", $E21, "tag", "InterestIncomeOperating")),"")</f>
        <v>126528000</v>
      </c>
      <c r="I21">
        <f>IFERROR(GETPIVOTDATA("value", financials_wide!$A$3, "adsh", $E21, "tag", "Liabilities"),"")</f>
        <v>2182685000</v>
      </c>
      <c r="J21">
        <f t="shared" si="0"/>
        <v>242157000</v>
      </c>
      <c r="K21">
        <f>IFERROR(GETPIVOTDATA("value", financials_wide!$A$3, "adsh", $E21, "tag", "NetIncomeLoss"),"")</f>
        <v>27755000</v>
      </c>
      <c r="L21">
        <f>IFERROR(GETPIVOTDATA("value", financials_wide!$A$3, "adsh", $E21, "tag", "StockholdersEquity"),"")</f>
        <v>242157000</v>
      </c>
      <c r="M21">
        <f t="shared" si="1"/>
        <v>10.013511895175444</v>
      </c>
      <c r="N21" s="3">
        <f t="shared" si="2"/>
        <v>1.1446106591687211E-2</v>
      </c>
      <c r="O21" t="str">
        <f t="shared" si="3"/>
        <v>Small</v>
      </c>
    </row>
    <row r="22" spans="1:15" x14ac:dyDescent="0.25">
      <c r="A22">
        <v>21</v>
      </c>
      <c r="B22">
        <v>6022</v>
      </c>
      <c r="C22" t="str">
        <v>EAGLE BANCORP INC</v>
      </c>
      <c r="D22">
        <v>1050441</v>
      </c>
      <c r="E22" t="str">
        <v>0001050441-26-000021</v>
      </c>
      <c r="F22">
        <f>IFERROR(GETPIVOTDATA("value", financials_wide!$A$3, "adsh", $E22, "tag", "Assets"),"")</f>
        <v>10497203000</v>
      </c>
      <c r="G22">
        <f>IFERROR(GETPIVOTDATA("value", financials_wide!$A$3, "adsh", $E22, "tag", "EarningsPerShareBasic"),"")</f>
        <v>-4.55</v>
      </c>
      <c r="H22">
        <f>IFERROR(IFERROR(GETPIVOTDATA("value", financials_wide!$A$3, "adsh", $E22, "tag", "InterestAndDividendIncomeOperating"), GETPIVOTDATA("value", financials_wide!$A$3, "adsh", $E22, "tag", "InterestIncomeOperating")),"")</f>
        <v>604482000</v>
      </c>
      <c r="I22">
        <f>IFERROR(GETPIVOTDATA("value", financials_wide!$A$3, "adsh", $E22, "tag", "Liabilities"),"")</f>
        <v>9365920000</v>
      </c>
      <c r="J22">
        <f t="shared" si="0"/>
        <v>1131283000</v>
      </c>
      <c r="K22">
        <f>IFERROR(GETPIVOTDATA("value", financials_wide!$A$3, "adsh", $E22, "tag", "NetIncomeLoss"),"")</f>
        <v>-138052000</v>
      </c>
      <c r="L22">
        <f>IFERROR(GETPIVOTDATA("value", financials_wide!$A$3, "adsh", $E22, "tag", "StockholdersEquity"),"")</f>
        <v>1131283000</v>
      </c>
      <c r="M22">
        <f t="shared" si="1"/>
        <v>9.2790247886691475</v>
      </c>
      <c r="N22" s="3">
        <f t="shared" si="2"/>
        <v>-1.3151312783033728E-2</v>
      </c>
      <c r="O22" t="str">
        <f t="shared" si="3"/>
        <v>Mid</v>
      </c>
    </row>
    <row r="23" spans="1:15" x14ac:dyDescent="0.25">
      <c r="A23">
        <v>22</v>
      </c>
      <c r="B23">
        <v>6022</v>
      </c>
      <c r="C23" t="str">
        <v>RED RIVER BANCSHARES INC</v>
      </c>
      <c r="D23">
        <v>1071236</v>
      </c>
      <c r="E23" t="str">
        <v>0001071236-26-000027</v>
      </c>
      <c r="F23">
        <f>IFERROR(GETPIVOTDATA("value", financials_wide!$A$3, "adsh", $E23, "tag", "Assets"),"")</f>
        <v>3350910000</v>
      </c>
      <c r="G23">
        <f>IFERROR(GETPIVOTDATA("value", financials_wide!$A$3, "adsh", $E23, "tag", "EarningsPerShareBasic"),"")</f>
        <v>6.4</v>
      </c>
      <c r="H23">
        <f>IFERROR(IFERROR(GETPIVOTDATA("value", financials_wide!$A$3, "adsh", $E23, "tag", "InterestAndDividendIncomeOperating"), GETPIVOTDATA("value", financials_wide!$A$3, "adsh", $E23, "tag", "InterestIncomeOperating")),"")</f>
        <v>149886000</v>
      </c>
      <c r="I23">
        <f>IFERROR(GETPIVOTDATA("value", financials_wide!$A$3, "adsh", $E23, "tag", "Liabilities"),"")</f>
        <v>2985760000</v>
      </c>
      <c r="J23">
        <f t="shared" si="0"/>
        <v>365150000</v>
      </c>
      <c r="K23">
        <f>IFERROR(GETPIVOTDATA("value", financials_wide!$A$3, "adsh", $E23, "tag", "NetIncomeLoss"),"")</f>
        <v>42764000</v>
      </c>
      <c r="L23">
        <f>IFERROR(GETPIVOTDATA("value", financials_wide!$A$3, "adsh", $E23, "tag", "StockholdersEquity"),"")</f>
        <v>365150000</v>
      </c>
      <c r="M23">
        <f t="shared" si="1"/>
        <v>9.1768040531288513</v>
      </c>
      <c r="N23" s="3">
        <f t="shared" si="2"/>
        <v>1.2761906467198462E-2</v>
      </c>
      <c r="O23" t="str">
        <f t="shared" si="3"/>
        <v>Mid</v>
      </c>
    </row>
    <row r="24" spans="1:15" x14ac:dyDescent="0.25">
      <c r="A24">
        <v>23</v>
      </c>
      <c r="B24">
        <v>6022</v>
      </c>
      <c r="C24" t="str">
        <v>REPUBLIC BANCORP INC /KY/</v>
      </c>
      <c r="D24">
        <v>921557</v>
      </c>
      <c r="E24" t="str">
        <v>0001104659-26-024523</v>
      </c>
      <c r="F24">
        <f>IFERROR(GETPIVOTDATA("value", financials_wide!$A$3, "adsh", $E24, "tag", "Assets"),"")</f>
        <v>7042061000</v>
      </c>
      <c r="G24">
        <f>IFERROR(GETPIVOTDATA("value", financials_wide!$A$3, "adsh", $E24, "tag", "EarningsPerShareBasic"),"")</f>
        <v>0</v>
      </c>
      <c r="H24">
        <f>IFERROR(IFERROR(GETPIVOTDATA("value", financials_wide!$A$3, "adsh", $E24, "tag", "InterestAndDividendIncomeOperating"), GETPIVOTDATA("value", financials_wide!$A$3, "adsh", $E24, "tag", "InterestIncomeOperating")),"")</f>
        <v>438513000</v>
      </c>
      <c r="I24">
        <f>IFERROR(GETPIVOTDATA("value", financials_wide!$A$3, "adsh", $E24, "tag", "Liabilities"),"")</f>
        <v>5939768000</v>
      </c>
      <c r="J24">
        <f t="shared" si="0"/>
        <v>1102293000</v>
      </c>
      <c r="K24">
        <f>IFERROR(GETPIVOTDATA("value", financials_wide!$A$3, "adsh", $E24, "tag", "NetIncomeLoss"),"")</f>
        <v>131317000</v>
      </c>
      <c r="L24">
        <f>IFERROR(GETPIVOTDATA("value", financials_wide!$A$3, "adsh", $E24, "tag", "StockholdersEquity"),"")</f>
        <v>1102293000</v>
      </c>
      <c r="M24">
        <f t="shared" si="1"/>
        <v>6.3885564001585786</v>
      </c>
      <c r="N24" s="3">
        <f t="shared" si="2"/>
        <v>1.8647523786005264E-2</v>
      </c>
      <c r="O24" t="str">
        <f t="shared" si="3"/>
        <v>Mid</v>
      </c>
    </row>
    <row r="25" spans="1:15" x14ac:dyDescent="0.25">
      <c r="A25">
        <v>24</v>
      </c>
      <c r="B25">
        <v>6022</v>
      </c>
      <c r="C25" t="str">
        <v>CITIZENS &amp; NORTHERN CORP</v>
      </c>
      <c r="D25">
        <v>810958</v>
      </c>
      <c r="E25" t="str">
        <v>0001104659-26-024613</v>
      </c>
      <c r="F25">
        <f>IFERROR(GETPIVOTDATA("value", financials_wide!$A$3, "adsh", $E25, "tag", "Assets"),"")</f>
        <v>3132469000</v>
      </c>
      <c r="G25">
        <f>IFERROR(GETPIVOTDATA("value", financials_wide!$A$3, "adsh", $E25, "tag", "EarningsPerShareBasic"),"")</f>
        <v>1.46</v>
      </c>
      <c r="H25">
        <f>IFERROR(IFERROR(GETPIVOTDATA("value", financials_wide!$A$3, "adsh", $E25, "tag", "InterestAndDividendIncomeOperating"), GETPIVOTDATA("value", financials_wide!$A$3, "adsh", $E25, "tag", "InterestIncomeOperating")),"")</f>
        <v>139217000</v>
      </c>
      <c r="I25">
        <f>IFERROR(GETPIVOTDATA("value", financials_wide!$A$3, "adsh", $E25, "tag", "Liabilities"),"")</f>
        <v>2790755000</v>
      </c>
      <c r="J25">
        <f t="shared" si="0"/>
        <v>341714000</v>
      </c>
      <c r="K25">
        <f>IFERROR(GETPIVOTDATA("value", financials_wide!$A$3, "adsh", $E25, "tag", "NetIncomeLoss"),"")</f>
        <v>23427000</v>
      </c>
      <c r="L25">
        <f>IFERROR(GETPIVOTDATA("value", financials_wide!$A$3, "adsh", $E25, "tag", "StockholdersEquity"),"")</f>
        <v>341714000</v>
      </c>
      <c r="M25">
        <f t="shared" si="1"/>
        <v>9.166931995762539</v>
      </c>
      <c r="N25" s="3">
        <f t="shared" si="2"/>
        <v>7.4787651529831583E-3</v>
      </c>
      <c r="O25" t="str">
        <f t="shared" si="3"/>
        <v>Mid</v>
      </c>
    </row>
    <row r="26" spans="1:15" x14ac:dyDescent="0.25">
      <c r="A26">
        <v>25</v>
      </c>
      <c r="B26">
        <v>6022</v>
      </c>
      <c r="C26" t="str">
        <v>FLUSHING FINANCIAL CORP</v>
      </c>
      <c r="D26">
        <v>923139</v>
      </c>
      <c r="E26" t="str">
        <v>0001104659-26-024646</v>
      </c>
      <c r="F26">
        <f>IFERROR(GETPIVOTDATA("value", financials_wide!$A$3, "adsh", $E26, "tag", "Assets"),"")</f>
        <v>8693302000</v>
      </c>
      <c r="G26">
        <f>IFERROR(GETPIVOTDATA("value", financials_wide!$A$3, "adsh", $E26, "tag", "EarningsPerShareBasic"),"")</f>
        <v>0.54</v>
      </c>
      <c r="H26">
        <f>IFERROR(IFERROR(GETPIVOTDATA("value", financials_wide!$A$3, "adsh", $E26, "tag", "InterestAndDividendIncomeOperating"), GETPIVOTDATA("value", financials_wide!$A$3, "adsh", $E26, "tag", "InterestIncomeOperating")),"")</f>
        <v>466229000</v>
      </c>
      <c r="I26">
        <f>IFERROR(GETPIVOTDATA("value", financials_wide!$A$3, "adsh", $E26, "tag", "Liabilities"),"")</f>
        <v>7985327000</v>
      </c>
      <c r="J26">
        <f t="shared" si="0"/>
        <v>707975000</v>
      </c>
      <c r="K26">
        <f>IFERROR(GETPIVOTDATA("value", financials_wide!$A$3, "adsh", $E26, "tag", "NetIncomeLoss"),"")</f>
        <v>18880000</v>
      </c>
      <c r="L26">
        <f>IFERROR(GETPIVOTDATA("value", financials_wide!$A$3, "adsh", $E26, "tag", "StockholdersEquity"),"")</f>
        <v>707975000</v>
      </c>
      <c r="M26">
        <f t="shared" si="1"/>
        <v>12.279108725590593</v>
      </c>
      <c r="N26" s="3">
        <f t="shared" si="2"/>
        <v>2.1717869688640751E-3</v>
      </c>
      <c r="O26" t="str">
        <f t="shared" si="3"/>
        <v>Mid</v>
      </c>
    </row>
    <row r="27" spans="1:15" x14ac:dyDescent="0.25">
      <c r="A27">
        <v>26</v>
      </c>
      <c r="B27">
        <v>6022</v>
      </c>
      <c r="C27" t="str">
        <v>GREAT SOUTHERN BANCORP, INC.</v>
      </c>
      <c r="D27">
        <v>854560</v>
      </c>
      <c r="E27" t="str">
        <v>0001104659-26-024659</v>
      </c>
      <c r="F27">
        <f>IFERROR(GETPIVOTDATA("value", financials_wide!$A$3, "adsh", $E27, "tag", "Assets"),"")</f>
        <v>5598606000</v>
      </c>
      <c r="G27">
        <f>IFERROR(GETPIVOTDATA("value", financials_wide!$A$3, "adsh", $E27, "tag", "EarningsPerShareBasic"),"")</f>
        <v>6.23</v>
      </c>
      <c r="H27">
        <f>IFERROR(IFERROR(GETPIVOTDATA("value", financials_wide!$A$3, "adsh", $E27, "tag", "InterestAndDividendIncomeOperating"), GETPIVOTDATA("value", financials_wide!$A$3, "adsh", $E27, "tag", "InterestIncomeOperating")),"")</f>
        <v>313732000</v>
      </c>
      <c r="I27">
        <f>IFERROR(GETPIVOTDATA("value", financials_wide!$A$3, "adsh", $E27, "tag", "Liabilities"),"")</f>
        <v>4962480000</v>
      </c>
      <c r="J27">
        <f t="shared" si="0"/>
        <v>636126000</v>
      </c>
      <c r="K27">
        <f>IFERROR(GETPIVOTDATA("value", financials_wide!$A$3, "adsh", $E27, "tag", "NetIncomeLoss"),"")</f>
        <v>70973000</v>
      </c>
      <c r="L27">
        <f>IFERROR(GETPIVOTDATA("value", financials_wide!$A$3, "adsh", $E27, "tag", "StockholdersEquity"),"")</f>
        <v>636126000</v>
      </c>
      <c r="M27">
        <f t="shared" si="1"/>
        <v>8.8010960092811796</v>
      </c>
      <c r="N27" s="3">
        <f t="shared" si="2"/>
        <v>1.2676905644012099E-2</v>
      </c>
      <c r="O27" t="str">
        <f t="shared" si="3"/>
        <v>Mid</v>
      </c>
    </row>
    <row r="28" spans="1:15" x14ac:dyDescent="0.25">
      <c r="A28">
        <v>27</v>
      </c>
      <c r="B28">
        <v>6021</v>
      </c>
      <c r="C28" t="str">
        <v>FIRST UNITED CORP/MD/</v>
      </c>
      <c r="D28">
        <v>763907</v>
      </c>
      <c r="E28" t="str">
        <v>0001104659-26-025836</v>
      </c>
      <c r="F28" t="str">
        <f>IFERROR(GETPIVOTDATA("value", financials_wide!$A$3, "adsh", $E28, "tag", "Assets"),"")</f>
        <v/>
      </c>
      <c r="G28" t="str">
        <f>IFERROR(GETPIVOTDATA("value", financials_wide!$A$3, "adsh", $E28, "tag", "EarningsPerShareBasic"),"")</f>
        <v/>
      </c>
      <c r="H28" t="str">
        <f>IFERROR(IFERROR(GETPIVOTDATA("value", financials_wide!$A$3, "adsh", $E28, "tag", "InterestAndDividendIncomeOperating"), GETPIVOTDATA("value", financials_wide!$A$3, "adsh", $E28, "tag", "InterestIncomeOperating")),"")</f>
        <v/>
      </c>
      <c r="I28" t="str">
        <f>IFERROR(GETPIVOTDATA("value", financials_wide!$A$3, "adsh", $E28, "tag", "Liabilities"),"")</f>
        <v/>
      </c>
      <c r="J28" t="str">
        <f t="shared" si="0"/>
        <v/>
      </c>
      <c r="K28" t="str">
        <f>IFERROR(GETPIVOTDATA("value", financials_wide!$A$3, "adsh", $E28, "tag", "NetIncomeLoss"),"")</f>
        <v/>
      </c>
      <c r="L28" t="str">
        <f>IFERROR(GETPIVOTDATA("value", financials_wide!$A$3, "adsh", $E28, "tag", "StockholdersEquity"),"")</f>
        <v/>
      </c>
      <c r="M28" t="e">
        <f t="shared" si="1"/>
        <v>#N/A</v>
      </c>
      <c r="N28" s="3" t="e">
        <f t="shared" si="2"/>
        <v>#N/A</v>
      </c>
      <c r="O28" t="str">
        <f t="shared" si="3"/>
        <v/>
      </c>
    </row>
    <row r="29" spans="1:15" x14ac:dyDescent="0.25">
      <c r="A29">
        <v>28</v>
      </c>
      <c r="B29">
        <v>6022</v>
      </c>
      <c r="C29" t="str">
        <v>BAR HARBOR BANKSHARES</v>
      </c>
      <c r="D29">
        <v>743367</v>
      </c>
      <c r="E29" t="str">
        <v>0001104659-26-027217</v>
      </c>
      <c r="F29">
        <f>IFERROR(GETPIVOTDATA("value", financials_wide!$A$3, "adsh", $E29, "tag", "Assets"),"")</f>
        <v>4683891000</v>
      </c>
      <c r="G29">
        <f>IFERROR(GETPIVOTDATA("value", financials_wide!$A$3, "adsh", $E29, "tag", "EarningsPerShareBasic"),"")</f>
        <v>2.3199999999999998</v>
      </c>
      <c r="H29">
        <f>IFERROR(IFERROR(GETPIVOTDATA("value", financials_wide!$A$3, "adsh", $E29, "tag", "InterestAndDividendIncomeOperating"), GETPIVOTDATA("value", financials_wide!$A$3, "adsh", $E29, "tag", "InterestIncomeOperating")),"")</f>
        <v>209519000</v>
      </c>
      <c r="I29">
        <f>IFERROR(GETPIVOTDATA("value", financials_wide!$A$3, "adsh", $E29, "tag", "Liabilities"),"")</f>
        <v>4151350000</v>
      </c>
      <c r="J29">
        <f t="shared" si="0"/>
        <v>532541000</v>
      </c>
      <c r="K29">
        <f>IFERROR(GETPIVOTDATA("value", financials_wide!$A$3, "adsh", $E29, "tag", "NetIncomeLoss"),"")</f>
        <v>36919000</v>
      </c>
      <c r="L29">
        <f>IFERROR(GETPIVOTDATA("value", financials_wide!$A$3, "adsh", $E29, "tag", "StockholdersEquity"),"")</f>
        <v>532541000</v>
      </c>
      <c r="M29">
        <f t="shared" si="1"/>
        <v>8.7953622350204022</v>
      </c>
      <c r="N29" s="3">
        <f t="shared" si="2"/>
        <v>7.8821219366548029E-3</v>
      </c>
      <c r="O29" t="str">
        <f t="shared" si="3"/>
        <v>Mid</v>
      </c>
    </row>
    <row r="30" spans="1:15" x14ac:dyDescent="0.25">
      <c r="A30">
        <v>29</v>
      </c>
      <c r="B30">
        <v>6022</v>
      </c>
      <c r="C30" t="str">
        <v>JOHN MARSHALL BANCORP, INC.</v>
      </c>
      <c r="D30">
        <v>1710482</v>
      </c>
      <c r="E30" t="str">
        <v>0001104659-26-027378</v>
      </c>
      <c r="F30">
        <f>IFERROR(GETPIVOTDATA("value", financials_wide!$A$3, "adsh", $E30, "tag", "Assets"),"")</f>
        <v>2332550000</v>
      </c>
      <c r="G30">
        <f>IFERROR(GETPIVOTDATA("value", financials_wide!$A$3, "adsh", $E30, "tag", "EarningsPerShareBasic"),"")</f>
        <v>1.49</v>
      </c>
      <c r="H30">
        <f>IFERROR(IFERROR(GETPIVOTDATA("value", financials_wide!$A$3, "adsh", $E30, "tag", "InterestAndDividendIncomeOperating"), GETPIVOTDATA("value", financials_wide!$A$3, "adsh", $E30, "tag", "InterestIncomeOperating")),"")</f>
        <v>113257000</v>
      </c>
      <c r="I30">
        <f>IFERROR(GETPIVOTDATA("value", financials_wide!$A$3, "adsh", $E30, "tag", "Liabilities"),"")</f>
        <v>2066912000</v>
      </c>
      <c r="J30">
        <f t="shared" si="0"/>
        <v>265638000</v>
      </c>
      <c r="K30">
        <f>IFERROR(GETPIVOTDATA("value", financials_wide!$A$3, "adsh", $E30, "tag", "NetIncomeLoss"),"")</f>
        <v>21233000</v>
      </c>
      <c r="L30">
        <f>IFERROR(GETPIVOTDATA("value", financials_wide!$A$3, "adsh", $E30, "tag", "StockholdersEquity"),"")</f>
        <v>265638000</v>
      </c>
      <c r="M30">
        <f t="shared" si="1"/>
        <v>8.7809349565950647</v>
      </c>
      <c r="N30" s="3">
        <f t="shared" si="2"/>
        <v>9.1029131208334221E-3</v>
      </c>
      <c r="O30" t="str">
        <f t="shared" si="3"/>
        <v>Small</v>
      </c>
    </row>
    <row r="31" spans="1:15" x14ac:dyDescent="0.25">
      <c r="A31">
        <v>30</v>
      </c>
      <c r="B31">
        <v>6022</v>
      </c>
      <c r="C31" t="str">
        <v>HANOVER BANCORP, INC. /MD</v>
      </c>
      <c r="D31">
        <v>1828588</v>
      </c>
      <c r="E31" t="str">
        <v>0001104659-26-027651</v>
      </c>
      <c r="F31">
        <f>IFERROR(GETPIVOTDATA("value", financials_wide!$A$3, "adsh", $E31, "tag", "Assets"),"")</f>
        <v>2383096000</v>
      </c>
      <c r="G31">
        <f>IFERROR(GETPIVOTDATA("value", financials_wide!$A$3, "adsh", $E31, "tag", "EarningsPerShareBasic"),"")</f>
        <v>1.01</v>
      </c>
      <c r="H31">
        <f>IFERROR(IFERROR(GETPIVOTDATA("value", financials_wide!$A$3, "adsh", $E31, "tag", "InterestAndDividendIncomeOperating"), GETPIVOTDATA("value", financials_wide!$A$3, "adsh", $E31, "tag", "InterestIncomeOperating")),"")</f>
        <v>130479000</v>
      </c>
      <c r="I31">
        <f>IFERROR(GETPIVOTDATA("value", financials_wide!$A$3, "adsh", $E31, "tag", "Liabilities"),"")</f>
        <v>2182830000</v>
      </c>
      <c r="J31">
        <f t="shared" si="0"/>
        <v>200266000</v>
      </c>
      <c r="K31">
        <f>IFERROR(GETPIVOTDATA("value", financials_wide!$A$3, "adsh", $E31, "tag", "NetIncomeLoss"),"")</f>
        <v>7488000</v>
      </c>
      <c r="L31">
        <f>IFERROR(GETPIVOTDATA("value", financials_wide!$A$3, "adsh", $E31, "tag", "StockholdersEquity"),"")</f>
        <v>200266000</v>
      </c>
      <c r="M31">
        <f t="shared" si="1"/>
        <v>11.899653460897007</v>
      </c>
      <c r="N31" s="3">
        <f t="shared" si="2"/>
        <v>3.1421310765491614E-3</v>
      </c>
      <c r="O31" t="str">
        <f t="shared" si="3"/>
        <v>Small</v>
      </c>
    </row>
    <row r="32" spans="1:15" x14ac:dyDescent="0.25">
      <c r="A32">
        <v>31</v>
      </c>
      <c r="B32">
        <v>6021</v>
      </c>
      <c r="C32" t="str">
        <v>PEOPLES FINANCIAL SERVICES CORP.</v>
      </c>
      <c r="D32">
        <v>1056943</v>
      </c>
      <c r="E32" t="str">
        <v>0001104659-26-028106</v>
      </c>
      <c r="F32">
        <f>IFERROR(GETPIVOTDATA("value", financials_wide!$A$3, "adsh", $E32, "tag", "Assets"),"")</f>
        <v>5270578000</v>
      </c>
      <c r="G32">
        <f>IFERROR(GETPIVOTDATA("value", financials_wide!$A$3, "adsh", $E32, "tag", "EarningsPerShareBasic"),"")</f>
        <v>5.92</v>
      </c>
      <c r="H32">
        <f>IFERROR(IFERROR(GETPIVOTDATA("value", financials_wide!$A$3, "adsh", $E32, "tag", "InterestAndDividendIncomeOperating"), GETPIVOTDATA("value", financials_wide!$A$3, "adsh", $E32, "tag", "InterestIncomeOperating")),"")</f>
        <v>259697000</v>
      </c>
      <c r="I32">
        <f>IFERROR(GETPIVOTDATA("value", financials_wide!$A$3, "adsh", $E32, "tag", "Liabilities"),"")</f>
        <v>4750731000</v>
      </c>
      <c r="J32">
        <f t="shared" si="0"/>
        <v>519847000</v>
      </c>
      <c r="K32">
        <f>IFERROR(GETPIVOTDATA("value", financials_wide!$A$3, "adsh", $E32, "tag", "NetIncomeLoss"),"")</f>
        <v>59187000</v>
      </c>
      <c r="L32">
        <f>IFERROR(GETPIVOTDATA("value", financials_wide!$A$3, "adsh", $E32, "tag", "StockholdersEquity"),"")</f>
        <v>519847000</v>
      </c>
      <c r="M32">
        <f t="shared" si="1"/>
        <v>10.13871004353204</v>
      </c>
      <c r="N32" s="3">
        <f t="shared" si="2"/>
        <v>1.1229698146958456E-2</v>
      </c>
      <c r="O32" t="str">
        <f t="shared" si="3"/>
        <v>Mid</v>
      </c>
    </row>
    <row r="33" spans="1:15" x14ac:dyDescent="0.25">
      <c r="A33">
        <v>32</v>
      </c>
      <c r="B33">
        <v>6022</v>
      </c>
      <c r="C33" t="str">
        <v>ORANGE COUNTY BANCORP, INC. /DE/</v>
      </c>
      <c r="D33">
        <v>1754226</v>
      </c>
      <c r="E33" t="str">
        <v>0001104659-26-028308</v>
      </c>
      <c r="F33">
        <f>IFERROR(GETPIVOTDATA("value", financials_wide!$A$3, "adsh", $E33, "tag", "Assets"),"")</f>
        <v>2659377000</v>
      </c>
      <c r="G33">
        <f>IFERROR(GETPIVOTDATA("value", financials_wide!$A$3, "adsh", $E33, "tag", "EarningsPerShareBasic"),"")</f>
        <v>3.33</v>
      </c>
      <c r="H33">
        <f>IFERROR(IFERROR(GETPIVOTDATA("value", financials_wide!$A$3, "adsh", $E33, "tag", "InterestAndDividendIncomeOperating"), GETPIVOTDATA("value", financials_wide!$A$3, "adsh", $E33, "tag", "InterestIncomeOperating")),"")</f>
        <v>134982000</v>
      </c>
      <c r="I33">
        <f>IFERROR(GETPIVOTDATA("value", financials_wide!$A$3, "adsh", $E33, "tag", "Liabilities"),"")</f>
        <v>2375013000</v>
      </c>
      <c r="J33">
        <f t="shared" si="0"/>
        <v>284364000</v>
      </c>
      <c r="K33">
        <f>IFERROR(GETPIVOTDATA("value", financials_wide!$A$3, "adsh", $E33, "tag", "NetIncomeLoss"),"")</f>
        <v>41614000</v>
      </c>
      <c r="L33">
        <f>IFERROR(GETPIVOTDATA("value", financials_wide!$A$3, "adsh", $E33, "tag", "StockholdersEquity"),"")</f>
        <v>284364000</v>
      </c>
      <c r="M33">
        <f t="shared" si="1"/>
        <v>9.3520171329704187</v>
      </c>
      <c r="N33" s="3">
        <f t="shared" si="2"/>
        <v>1.5648025834622169E-2</v>
      </c>
      <c r="O33" t="str">
        <f t="shared" si="3"/>
        <v>Mid</v>
      </c>
    </row>
    <row r="34" spans="1:15" x14ac:dyDescent="0.25">
      <c r="A34">
        <v>33</v>
      </c>
      <c r="B34">
        <v>6022</v>
      </c>
      <c r="C34" t="str">
        <v>FIRST FOUNDATION INC.</v>
      </c>
      <c r="D34">
        <v>1413837</v>
      </c>
      <c r="E34" t="str">
        <v>0001104659-26-028501</v>
      </c>
      <c r="F34">
        <f>IFERROR(GETPIVOTDATA("value", financials_wide!$A$3, "adsh", $E34, "tag", "Assets"),"")</f>
        <v>11904077000</v>
      </c>
      <c r="G34">
        <f>IFERROR(GETPIVOTDATA("value", financials_wide!$A$3, "adsh", $E34, "tag", "EarningsPerShareBasic"),"")</f>
        <v>-1.88</v>
      </c>
      <c r="H34">
        <f>IFERROR(IFERROR(GETPIVOTDATA("value", financials_wide!$A$3, "adsh", $E34, "tag", "InterestAndDividendIncomeOperating"), GETPIVOTDATA("value", financials_wide!$A$3, "adsh", $E34, "tag", "InterestIncomeOperating")),"")</f>
        <v>540989000</v>
      </c>
      <c r="I34">
        <f>IFERROR(GETPIVOTDATA("value", financials_wide!$A$3, "adsh", $E34, "tag", "Liabilities"),"")</f>
        <v>10991490000</v>
      </c>
      <c r="J34">
        <f t="shared" si="0"/>
        <v>912587000</v>
      </c>
      <c r="K34">
        <f>IFERROR(GETPIVOTDATA("value", financials_wide!$A$3, "adsh", $E34, "tag", "NetIncomeLoss"),"")</f>
        <v>-155157000</v>
      </c>
      <c r="L34">
        <f>IFERROR(GETPIVOTDATA("value", financials_wide!$A$3, "adsh", $E34, "tag", "StockholdersEquity"),"")</f>
        <v>912587000</v>
      </c>
      <c r="M34">
        <f t="shared" si="1"/>
        <v>13.044320157968501</v>
      </c>
      <c r="N34" s="3">
        <f t="shared" si="2"/>
        <v>-1.3033937868513451E-2</v>
      </c>
      <c r="O34" t="str">
        <f t="shared" si="3"/>
        <v>Mid</v>
      </c>
    </row>
    <row r="35" spans="1:15" x14ac:dyDescent="0.25">
      <c r="A35">
        <v>34</v>
      </c>
      <c r="B35">
        <v>6021</v>
      </c>
      <c r="C35" t="str">
        <v>SMARTFINANCIAL INC.</v>
      </c>
      <c r="D35">
        <v>1038773</v>
      </c>
      <c r="E35" t="str">
        <v>0001104659-26-028542</v>
      </c>
      <c r="F35">
        <f>IFERROR(GETPIVOTDATA("value", financials_wide!$A$3, "adsh", $E35, "tag", "Assets"),"")</f>
        <v>5860810000</v>
      </c>
      <c r="G35">
        <f>IFERROR(GETPIVOTDATA("value", financials_wide!$A$3, "adsh", $E35, "tag", "EarningsPerShareBasic"),"")</f>
        <v>3</v>
      </c>
      <c r="H35">
        <f>IFERROR(IFERROR(GETPIVOTDATA("value", financials_wide!$A$3, "adsh", $E35, "tag", "InterestAndDividendIncomeOperating"), GETPIVOTDATA("value", financials_wide!$A$3, "adsh", $E35, "tag", "InterestIncomeOperating")),"")</f>
        <v>0</v>
      </c>
      <c r="I35">
        <f>IFERROR(GETPIVOTDATA("value", financials_wide!$A$3, "adsh", $E35, "tag", "Liabilities"),"")</f>
        <v>5308318000</v>
      </c>
      <c r="J35">
        <f t="shared" si="0"/>
        <v>552492000</v>
      </c>
      <c r="K35">
        <f>IFERROR(GETPIVOTDATA("value", financials_wide!$A$3, "adsh", $E35, "tag", "NetIncomeLoss"),"")</f>
        <v>0</v>
      </c>
      <c r="L35">
        <f>IFERROR(GETPIVOTDATA("value", financials_wide!$A$3, "adsh", $E35, "tag", "StockholdersEquity"),"")</f>
        <v>552379000</v>
      </c>
      <c r="M35">
        <f t="shared" si="1"/>
        <v>10.610124570267878</v>
      </c>
      <c r="N35" s="3">
        <f t="shared" si="2"/>
        <v>0</v>
      </c>
      <c r="O35" t="str">
        <f t="shared" si="3"/>
        <v>Mid</v>
      </c>
    </row>
    <row r="36" spans="1:15" x14ac:dyDescent="0.25">
      <c r="A36">
        <v>35</v>
      </c>
      <c r="B36">
        <v>6022</v>
      </c>
      <c r="C36" t="str">
        <v>PRIMIS FINANCIAL CORP.</v>
      </c>
      <c r="D36">
        <v>1325670</v>
      </c>
      <c r="E36" t="str">
        <v>0001104659-26-028599</v>
      </c>
      <c r="F36">
        <f>IFERROR(GETPIVOTDATA("value", financials_wide!$A$3, "adsh", $E36, "tag", "Assets"),"")</f>
        <v>4047388000</v>
      </c>
      <c r="G36">
        <f>IFERROR(GETPIVOTDATA("value", financials_wide!$A$3, "adsh", $E36, "tag", "EarningsPerShareBasic"),"")</f>
        <v>2.4900000000000002</v>
      </c>
      <c r="H36">
        <f>IFERROR(IFERROR(GETPIVOTDATA("value", financials_wide!$A$3, "adsh", $E36, "tag", "InterestAndDividendIncomeOperating"), GETPIVOTDATA("value", financials_wide!$A$3, "adsh", $E36, "tag", "InterestIncomeOperating")),"")</f>
        <v>200442000</v>
      </c>
      <c r="I36">
        <f>IFERROR(GETPIVOTDATA("value", financials_wide!$A$3, "adsh", $E36, "tag", "Liabilities"),"")</f>
        <v>3624492000</v>
      </c>
      <c r="J36">
        <f t="shared" si="0"/>
        <v>422896000</v>
      </c>
      <c r="K36">
        <f>IFERROR(GETPIVOTDATA("value", financials_wide!$A$3, "adsh", $E36, "tag", "NetIncomeLoss"),"")</f>
        <v>61443000</v>
      </c>
      <c r="L36">
        <f>IFERROR(GETPIVOTDATA("value", financials_wide!$A$3, "adsh", $E36, "tag", "StockholdersEquity"),"")</f>
        <v>422896000</v>
      </c>
      <c r="M36">
        <f t="shared" si="1"/>
        <v>9.5706462108887287</v>
      </c>
      <c r="N36" s="3">
        <f t="shared" si="2"/>
        <v>1.5180901855715341E-2</v>
      </c>
      <c r="O36" t="str">
        <f t="shared" si="3"/>
        <v>Mid</v>
      </c>
    </row>
    <row r="37" spans="1:15" x14ac:dyDescent="0.25">
      <c r="A37">
        <v>36</v>
      </c>
      <c r="B37">
        <v>6022</v>
      </c>
      <c r="C37" t="str">
        <v>PEOPLES FINANCIAL CORP /MS/</v>
      </c>
      <c r="D37">
        <v>770460</v>
      </c>
      <c r="E37" t="str">
        <v>0001104659-26-030236</v>
      </c>
      <c r="F37">
        <f>IFERROR(GETPIVOTDATA("value", financials_wide!$A$3, "adsh", $E37, "tag", "Assets"),"")</f>
        <v>727121000</v>
      </c>
      <c r="G37">
        <f>IFERROR(GETPIVOTDATA("value", financials_wide!$A$3, "adsh", $E37, "tag", "EarningsPerShareBasic"),"")</f>
        <v>0.85</v>
      </c>
      <c r="H37">
        <f>IFERROR(IFERROR(GETPIVOTDATA("value", financials_wide!$A$3, "adsh", $E37, "tag", "InterestAndDividendIncomeOperating"), GETPIVOTDATA("value", financials_wide!$A$3, "adsh", $E37, "tag", "InterestIncomeOperating")),"")</f>
        <v>0</v>
      </c>
      <c r="I37">
        <f>IFERROR(GETPIVOTDATA("value", financials_wide!$A$3, "adsh", $E37, "tag", "Liabilities"),"")</f>
        <v>626454000</v>
      </c>
      <c r="J37">
        <f t="shared" si="0"/>
        <v>100667000</v>
      </c>
      <c r="K37">
        <f>IFERROR(GETPIVOTDATA("value", financials_wide!$A$3, "adsh", $E37, "tag", "NetIncomeLoss"),"")</f>
        <v>3911000</v>
      </c>
      <c r="L37">
        <f>IFERROR(GETPIVOTDATA("value", financials_wide!$A$3, "adsh", $E37, "tag", "StockholdersEquity"),"")</f>
        <v>100667000</v>
      </c>
      <c r="M37">
        <f t="shared" si="1"/>
        <v>7.2230323740649869</v>
      </c>
      <c r="N37" s="3">
        <f t="shared" si="2"/>
        <v>5.3787471411223167E-3</v>
      </c>
      <c r="O37" t="str">
        <f t="shared" si="3"/>
        <v>Small</v>
      </c>
    </row>
    <row r="38" spans="1:15" x14ac:dyDescent="0.25">
      <c r="A38">
        <v>37</v>
      </c>
      <c r="B38">
        <v>6022</v>
      </c>
      <c r="C38" t="str">
        <v>UNITED BANCORP INC /OH/</v>
      </c>
      <c r="D38">
        <v>731653</v>
      </c>
      <c r="E38" t="str">
        <v>0001104659-26-030899</v>
      </c>
      <c r="F38">
        <f>IFERROR(GETPIVOTDATA("value", financials_wide!$A$3, "adsh", $E38, "tag", "Assets"),"")</f>
        <v>857445000</v>
      </c>
      <c r="G38">
        <f>IFERROR(GETPIVOTDATA("value", financials_wide!$A$3, "adsh", $E38, "tag", "EarningsPerShareBasic"),"")</f>
        <v>1.34</v>
      </c>
      <c r="H38">
        <f>IFERROR(IFERROR(GETPIVOTDATA("value", financials_wide!$A$3, "adsh", $E38, "tag", "InterestAndDividendIncomeOperating"), GETPIVOTDATA("value", financials_wide!$A$3, "adsh", $E38, "tag", "InterestIncomeOperating")),"")</f>
        <v>41489000</v>
      </c>
      <c r="I38">
        <f>IFERROR(GETPIVOTDATA("value", financials_wide!$A$3, "adsh", $E38, "tag", "Liabilities"),"")</f>
        <v>786930000</v>
      </c>
      <c r="J38">
        <f t="shared" si="0"/>
        <v>70515000</v>
      </c>
      <c r="K38">
        <f>IFERROR(GETPIVOTDATA("value", financials_wide!$A$3, "adsh", $E38, "tag", "NetIncomeLoss"),"")</f>
        <v>7753000</v>
      </c>
      <c r="L38">
        <f>IFERROR(GETPIVOTDATA("value", financials_wide!$A$3, "adsh", $E38, "tag", "StockholdersEquity"),"")</f>
        <v>70515000</v>
      </c>
      <c r="M38">
        <f t="shared" si="1"/>
        <v>12.15975324399064</v>
      </c>
      <c r="N38" s="3">
        <f t="shared" si="2"/>
        <v>9.0419793689391157E-3</v>
      </c>
      <c r="O38" t="str">
        <f t="shared" si="3"/>
        <v>Small</v>
      </c>
    </row>
    <row r="39" spans="1:15" x14ac:dyDescent="0.25">
      <c r="A39">
        <v>38</v>
      </c>
      <c r="B39">
        <v>6021</v>
      </c>
      <c r="C39" t="str">
        <v>AMERISERV FINANCIAL INC /PA/</v>
      </c>
      <c r="D39">
        <v>707605</v>
      </c>
      <c r="E39" t="str">
        <v>0001104659-26-031270</v>
      </c>
      <c r="F39">
        <f>IFERROR(GETPIVOTDATA("value", financials_wide!$A$3, "adsh", $E39, "tag", "Assets"),"")</f>
        <v>1453813000</v>
      </c>
      <c r="G39">
        <f>IFERROR(GETPIVOTDATA("value", financials_wide!$A$3, "adsh", $E39, "tag", "EarningsPerShareBasic"),"")</f>
        <v>0.34</v>
      </c>
      <c r="H39">
        <f>IFERROR(IFERROR(GETPIVOTDATA("value", financials_wide!$A$3, "adsh", $E39, "tag", "InterestAndDividendIncomeOperating"), GETPIVOTDATA("value", financials_wide!$A$3, "adsh", $E39, "tag", "InterestIncomeOperating")),"")</f>
        <v>71354000</v>
      </c>
      <c r="I39">
        <f>IFERROR(GETPIVOTDATA("value", financials_wide!$A$3, "adsh", $E39, "tag", "Liabilities"),"")</f>
        <v>1334501000</v>
      </c>
      <c r="J39">
        <f t="shared" si="0"/>
        <v>119312000</v>
      </c>
      <c r="K39">
        <f>IFERROR(GETPIVOTDATA("value", financials_wide!$A$3, "adsh", $E39, "tag", "NetIncomeLoss"),"")</f>
        <v>5612000</v>
      </c>
      <c r="L39">
        <f>IFERROR(GETPIVOTDATA("value", financials_wide!$A$3, "adsh", $E39, "tag", "StockholdersEquity"),"")</f>
        <v>119312000</v>
      </c>
      <c r="M39">
        <f t="shared" si="1"/>
        <v>12.184968821241787</v>
      </c>
      <c r="N39" s="3">
        <f t="shared" si="2"/>
        <v>3.8601938488650191E-3</v>
      </c>
      <c r="O39" t="str">
        <f t="shared" si="3"/>
        <v>Small</v>
      </c>
    </row>
    <row r="40" spans="1:15" x14ac:dyDescent="0.25">
      <c r="A40">
        <v>39</v>
      </c>
      <c r="B40">
        <v>6022</v>
      </c>
      <c r="C40" t="str">
        <v>JUNIATA VALLEY FINANCIAL CORP</v>
      </c>
      <c r="D40">
        <v>714712</v>
      </c>
      <c r="E40" t="str">
        <v>0001104659-26-034395</v>
      </c>
      <c r="F40">
        <f>IFERROR(GETPIVOTDATA("value", financials_wide!$A$3, "adsh", $E40, "tag", "Assets"),"")</f>
        <v>895263000</v>
      </c>
      <c r="G40">
        <f>IFERROR(GETPIVOTDATA("value", financials_wide!$A$3, "adsh", $E40, "tag", "EarningsPerShareBasic"),"")</f>
        <v>1.59</v>
      </c>
      <c r="H40">
        <f>IFERROR(IFERROR(GETPIVOTDATA("value", financials_wide!$A$3, "adsh", $E40, "tag", "InterestAndDividendIncomeOperating"), GETPIVOTDATA("value", financials_wide!$A$3, "adsh", $E40, "tag", "InterestIncomeOperating")),"")</f>
        <v>38975000</v>
      </c>
      <c r="I40">
        <f>IFERROR(GETPIVOTDATA("value", financials_wide!$A$3, "adsh", $E40, "tag", "Liabilities"),"")</f>
        <v>837890000</v>
      </c>
      <c r="J40">
        <f t="shared" si="0"/>
        <v>57373000</v>
      </c>
      <c r="K40">
        <f>IFERROR(GETPIVOTDATA("value", financials_wide!$A$3, "adsh", $E40, "tag", "NetIncomeLoss"),"")</f>
        <v>7983000</v>
      </c>
      <c r="L40">
        <f>IFERROR(GETPIVOTDATA("value", financials_wide!$A$3, "adsh", $E40, "tag", "StockholdersEquity"),"")</f>
        <v>57373000</v>
      </c>
      <c r="M40">
        <f t="shared" si="1"/>
        <v>15.604256357520088</v>
      </c>
      <c r="N40" s="3">
        <f t="shared" si="2"/>
        <v>8.9169327895825025E-3</v>
      </c>
      <c r="O40" t="str">
        <f t="shared" si="3"/>
        <v>Small</v>
      </c>
    </row>
    <row r="41" spans="1:15" x14ac:dyDescent="0.25">
      <c r="A41">
        <v>40</v>
      </c>
      <c r="B41">
        <v>6021</v>
      </c>
      <c r="C41" t="str">
        <v>SENECA BANCORP, INC.</v>
      </c>
      <c r="D41">
        <v>2072421</v>
      </c>
      <c r="E41" t="str">
        <v>0001104659-26-036813</v>
      </c>
      <c r="F41">
        <f>IFERROR(GETPIVOTDATA("value", financials_wide!$A$3, "adsh", $E41, "tag", "Assets"),"")</f>
        <v>312114000</v>
      </c>
      <c r="G41">
        <f>IFERROR(GETPIVOTDATA("value", financials_wide!$A$3, "adsh", $E41, "tag", "EarningsPerShareBasic"),"")</f>
        <v>0.1</v>
      </c>
      <c r="H41">
        <f>IFERROR(IFERROR(GETPIVOTDATA("value", financials_wide!$A$3, "adsh", $E41, "tag", "InterestAndDividendIncomeOperating"), GETPIVOTDATA("value", financials_wide!$A$3, "adsh", $E41, "tag", "InterestIncomeOperating")),"")</f>
        <v>14627000</v>
      </c>
      <c r="I41">
        <f>IFERROR(GETPIVOTDATA("value", financials_wide!$A$3, "adsh", $E41, "tag", "Liabilities"),"")</f>
        <v>279363000</v>
      </c>
      <c r="J41">
        <f t="shared" si="0"/>
        <v>32751000</v>
      </c>
      <c r="K41">
        <f>IFERROR(GETPIVOTDATA("value", financials_wide!$A$3, "adsh", $E41, "tag", "NetIncomeLoss"),"")</f>
        <v>172000</v>
      </c>
      <c r="L41">
        <f>IFERROR(GETPIVOTDATA("value", financials_wide!$A$3, "adsh", $E41, "tag", "StockholdersEquity"),"")</f>
        <v>32751000</v>
      </c>
      <c r="M41">
        <f t="shared" si="1"/>
        <v>9.5299074837409545</v>
      </c>
      <c r="N41" s="3">
        <f t="shared" si="2"/>
        <v>5.5108069487430872E-4</v>
      </c>
      <c r="O41" t="str">
        <f t="shared" si="3"/>
        <v>Small</v>
      </c>
    </row>
    <row r="42" spans="1:15" x14ac:dyDescent="0.25">
      <c r="A42">
        <v>41</v>
      </c>
      <c r="B42">
        <v>6021</v>
      </c>
      <c r="C42" t="str">
        <v>UNITED SECURITY BANCSHARES</v>
      </c>
      <c r="D42">
        <v>1137547</v>
      </c>
      <c r="E42" t="str">
        <v>0001137547-26-000011</v>
      </c>
      <c r="F42">
        <f>IFERROR(GETPIVOTDATA("value", financials_wide!$A$3, "adsh", $E42, "tag", "Assets"),"")</f>
        <v>1248313000</v>
      </c>
      <c r="G42">
        <f>IFERROR(GETPIVOTDATA("value", financials_wide!$A$3, "adsh", $E42, "tag", "EarningsPerShareBasic"),"")</f>
        <v>0.7</v>
      </c>
      <c r="H42">
        <f>IFERROR(IFERROR(GETPIVOTDATA("value", financials_wide!$A$3, "adsh", $E42, "tag", "InterestAndDividendIncomeOperating"), GETPIVOTDATA("value", financials_wide!$A$3, "adsh", $E42, "tag", "InterestIncomeOperating")),"")</f>
        <v>60812000</v>
      </c>
      <c r="I42">
        <f>IFERROR(GETPIVOTDATA("value", financials_wide!$A$3, "adsh", $E42, "tag", "Liabilities"),"")</f>
        <v>1108630000</v>
      </c>
      <c r="J42">
        <f t="shared" si="0"/>
        <v>139683000</v>
      </c>
      <c r="K42">
        <f>IFERROR(GETPIVOTDATA("value", financials_wide!$A$3, "adsh", $E42, "tag", "NetIncomeLoss"),"")</f>
        <v>12288000</v>
      </c>
      <c r="L42">
        <f>IFERROR(GETPIVOTDATA("value", financials_wide!$A$3, "adsh", $E42, "tag", "StockholdersEquity"),"")</f>
        <v>139683000</v>
      </c>
      <c r="M42">
        <f t="shared" si="1"/>
        <v>8.9367567993241845</v>
      </c>
      <c r="N42" s="3">
        <f t="shared" si="2"/>
        <v>9.843685037326376E-3</v>
      </c>
      <c r="O42" t="str">
        <f t="shared" si="3"/>
        <v>Small</v>
      </c>
    </row>
    <row r="43" spans="1:15" x14ac:dyDescent="0.25">
      <c r="A43">
        <v>42</v>
      </c>
      <c r="B43">
        <v>6022</v>
      </c>
      <c r="C43" t="str">
        <v>SOUTH PLAINS FINANCIAL, INC.</v>
      </c>
      <c r="D43">
        <v>1163668</v>
      </c>
      <c r="E43" t="str">
        <v>0001140361-26-008087</v>
      </c>
      <c r="F43">
        <f>IFERROR(GETPIVOTDATA("value", financials_wide!$A$3, "adsh", $E43, "tag", "Assets"),"")</f>
        <v>4480500000</v>
      </c>
      <c r="G43">
        <f>IFERROR(GETPIVOTDATA("value", financials_wide!$A$3, "adsh", $E43, "tag", "EarningsPerShareBasic"),"")</f>
        <v>3.59</v>
      </c>
      <c r="H43">
        <f>IFERROR(IFERROR(GETPIVOTDATA("value", financials_wide!$A$3, "adsh", $E43, "tag", "InterestAndDividendIncomeOperating"), GETPIVOTDATA("value", financials_wide!$A$3, "adsh", $E43, "tag", "InterestIncomeOperating")),"")</f>
        <v>251998000</v>
      </c>
      <c r="I43">
        <f>IFERROR(GETPIVOTDATA("value", financials_wide!$A$3, "adsh", $E43, "tag", "Liabilities"),"")</f>
        <v>3986663000</v>
      </c>
      <c r="J43">
        <f t="shared" si="0"/>
        <v>493837000</v>
      </c>
      <c r="K43">
        <f>IFERROR(GETPIVOTDATA("value", financials_wide!$A$3, "adsh", $E43, "tag", "NetIncomeLoss"),"")</f>
        <v>58471000</v>
      </c>
      <c r="L43">
        <f>IFERROR(GETPIVOTDATA("value", financials_wide!$A$3, "adsh", $E43, "tag", "StockholdersEquity"),"")</f>
        <v>493837000</v>
      </c>
      <c r="M43">
        <f t="shared" si="1"/>
        <v>9.0728317238279033</v>
      </c>
      <c r="N43" s="3">
        <f t="shared" si="2"/>
        <v>1.3050106014953688E-2</v>
      </c>
      <c r="O43" t="str">
        <f t="shared" si="3"/>
        <v>Mid</v>
      </c>
    </row>
    <row r="44" spans="1:15" x14ac:dyDescent="0.25">
      <c r="A44">
        <v>43</v>
      </c>
      <c r="B44">
        <v>6022</v>
      </c>
      <c r="C44" t="str">
        <v>CITIZENS FINANCIAL SERVICES INC</v>
      </c>
      <c r="D44">
        <v>739421</v>
      </c>
      <c r="E44" t="str">
        <v>0001140361-26-009103</v>
      </c>
      <c r="F44">
        <f>IFERROR(GETPIVOTDATA("value", financials_wide!$A$3, "adsh", $E44, "tag", "Assets"),"")</f>
        <v>3064564000</v>
      </c>
      <c r="G44">
        <f>IFERROR(GETPIVOTDATA("value", financials_wide!$A$3, "adsh", $E44, "tag", "EarningsPerShareBasic"),"")</f>
        <v>7.62</v>
      </c>
      <c r="H44">
        <f>IFERROR(IFERROR(GETPIVOTDATA("value", financials_wide!$A$3, "adsh", $E44, "tag", "InterestAndDividendIncomeOperating"), GETPIVOTDATA("value", financials_wide!$A$3, "adsh", $E44, "tag", "InterestIncomeOperating")),"")</f>
        <v>159168000</v>
      </c>
      <c r="I44">
        <f>IFERROR(GETPIVOTDATA("value", financials_wide!$A$3, "adsh", $E44, "tag", "Liabilities"),"")</f>
        <v>2726513000</v>
      </c>
      <c r="J44">
        <f t="shared" si="0"/>
        <v>338051000</v>
      </c>
      <c r="K44">
        <f>IFERROR(GETPIVOTDATA("value", financials_wide!$A$3, "adsh", $E44, "tag", "NetIncomeLoss"),"")</f>
        <v>36572000</v>
      </c>
      <c r="L44">
        <f>IFERROR(GETPIVOTDATA("value", financials_wide!$A$3, "adsh", $E44, "tag", "StockholdersEquity"),"")</f>
        <v>338051000</v>
      </c>
      <c r="M44">
        <f t="shared" si="1"/>
        <v>9.0653895418146959</v>
      </c>
      <c r="N44" s="3">
        <f t="shared" si="2"/>
        <v>1.1933834633572671E-2</v>
      </c>
      <c r="O44" t="str">
        <f t="shared" si="3"/>
        <v>Mid</v>
      </c>
    </row>
    <row r="45" spans="1:15" x14ac:dyDescent="0.25">
      <c r="A45">
        <v>44</v>
      </c>
      <c r="B45">
        <v>6022</v>
      </c>
      <c r="C45" t="str">
        <v>OHIO VALLEY BANC CORP</v>
      </c>
      <c r="D45">
        <v>894671</v>
      </c>
      <c r="E45" t="str">
        <v>0001140361-26-009342</v>
      </c>
      <c r="F45">
        <f>IFERROR(GETPIVOTDATA("value", financials_wide!$A$3, "adsh", $E45, "tag", "Assets"),"")</f>
        <v>1582654000</v>
      </c>
      <c r="G45">
        <f>IFERROR(GETPIVOTDATA("value", financials_wide!$A$3, "adsh", $E45, "tag", "EarningsPerShareBasic"),"")</f>
        <v>3.31</v>
      </c>
      <c r="H45">
        <f>IFERROR(IFERROR(GETPIVOTDATA("value", financials_wide!$A$3, "adsh", $E45, "tag", "InterestAndDividendIncomeOperating"), GETPIVOTDATA("value", financials_wide!$A$3, "adsh", $E45, "tag", "InterestIncomeOperating")),"")</f>
        <v>85237000</v>
      </c>
      <c r="I45">
        <f>IFERROR(GETPIVOTDATA("value", financials_wide!$A$3, "adsh", $E45, "tag", "Liabilities"),"")</f>
        <v>1412397000</v>
      </c>
      <c r="J45">
        <f t="shared" si="0"/>
        <v>170257000</v>
      </c>
      <c r="K45">
        <f>IFERROR(GETPIVOTDATA("value", financials_wide!$A$3, "adsh", $E45, "tag", "NetIncomeLoss"),"")</f>
        <v>15601000</v>
      </c>
      <c r="L45">
        <f>IFERROR(GETPIVOTDATA("value", financials_wide!$A$3, "adsh", $E45, "tag", "StockholdersEquity"),"")</f>
        <v>170257000</v>
      </c>
      <c r="M45">
        <f t="shared" si="1"/>
        <v>9.2956765360601921</v>
      </c>
      <c r="N45" s="3">
        <f t="shared" si="2"/>
        <v>9.8574925410102269E-3</v>
      </c>
      <c r="O45" t="str">
        <f t="shared" si="3"/>
        <v>Small</v>
      </c>
    </row>
    <row r="46" spans="1:15" x14ac:dyDescent="0.25">
      <c r="A46">
        <v>45</v>
      </c>
      <c r="B46">
        <v>6021</v>
      </c>
      <c r="C46" t="str">
        <v>FARMERS &amp; MERCHANTS BANCORP</v>
      </c>
      <c r="D46">
        <v>1085913</v>
      </c>
      <c r="E46" t="str">
        <v>0001140361-26-009383</v>
      </c>
      <c r="F46">
        <f>IFERROR(GETPIVOTDATA("value", financials_wide!$A$3, "adsh", $E46, "tag", "Assets"),"")</f>
        <v>5690110000</v>
      </c>
      <c r="G46">
        <f>IFERROR(GETPIVOTDATA("value", financials_wide!$A$3, "adsh", $E46, "tag", "EarningsPerShareBasic"),"")</f>
        <v>134.96</v>
      </c>
      <c r="H46">
        <f>IFERROR(IFERROR(GETPIVOTDATA("value", financials_wide!$A$3, "adsh", $E46, "tag", "InterestAndDividendIncomeOperating"), GETPIVOTDATA("value", financials_wide!$A$3, "adsh", $E46, "tag", "InterestIncomeOperating")),"")</f>
        <v>279492000</v>
      </c>
      <c r="I46">
        <f>IFERROR(GETPIVOTDATA("value", financials_wide!$A$3, "adsh", $E46, "tag", "Liabilities"),"")</f>
        <v>5044596000</v>
      </c>
      <c r="J46">
        <f t="shared" si="0"/>
        <v>645514000</v>
      </c>
      <c r="K46">
        <f>IFERROR(GETPIVOTDATA("value", financials_wide!$A$3, "adsh", $E46, "tag", "NetIncomeLoss"),"")</f>
        <v>93605000</v>
      </c>
      <c r="L46">
        <f>IFERROR(GETPIVOTDATA("value", financials_wide!$A$3, "adsh", $E46, "tag", "StockholdersEquity"),"")</f>
        <v>645514000</v>
      </c>
      <c r="M46">
        <f t="shared" si="1"/>
        <v>8.8148514207282886</v>
      </c>
      <c r="N46" s="3">
        <f t="shared" si="2"/>
        <v>1.6450472837959196E-2</v>
      </c>
      <c r="O46" t="str">
        <f t="shared" si="3"/>
        <v>Mid</v>
      </c>
    </row>
    <row r="47" spans="1:15" x14ac:dyDescent="0.25">
      <c r="A47">
        <v>46</v>
      </c>
      <c r="B47">
        <v>6022</v>
      </c>
      <c r="C47" t="str">
        <v>TRUSTCO BANK CORP N Y</v>
      </c>
      <c r="D47">
        <v>357301</v>
      </c>
      <c r="E47" t="str">
        <v>0001140361-26-009576</v>
      </c>
      <c r="F47">
        <f>IFERROR(GETPIVOTDATA("value", financials_wide!$A$3, "adsh", $E47, "tag", "Assets"),"")</f>
        <v>6440700000</v>
      </c>
      <c r="G47">
        <f>IFERROR(GETPIVOTDATA("value", financials_wide!$A$3, "adsh", $E47, "tag", "EarningsPerShareBasic"),"")</f>
        <v>3.26</v>
      </c>
      <c r="H47">
        <f>IFERROR(IFERROR(GETPIVOTDATA("value", financials_wide!$A$3, "adsh", $E47, "tag", "InterestAndDividendIncomeOperating"), GETPIVOTDATA("value", financials_wide!$A$3, "adsh", $E47, "tag", "InterestIncomeOperating")),"")</f>
        <v>259416000</v>
      </c>
      <c r="I47">
        <f>IFERROR(GETPIVOTDATA("value", financials_wide!$A$3, "adsh", $E47, "tag", "Liabilities"),"")</f>
        <v>5754111000</v>
      </c>
      <c r="J47">
        <f t="shared" si="0"/>
        <v>686589000</v>
      </c>
      <c r="K47">
        <f>IFERROR(GETPIVOTDATA("value", financials_wide!$A$3, "adsh", $E47, "tag", "NetIncomeLoss"),"")</f>
        <v>61137000</v>
      </c>
      <c r="L47">
        <f>IFERROR(GETPIVOTDATA("value", financials_wide!$A$3, "adsh", $E47, "tag", "StockholdersEquity"),"")</f>
        <v>686589000</v>
      </c>
      <c r="M47">
        <f t="shared" si="1"/>
        <v>9.3807212174969301</v>
      </c>
      <c r="N47" s="3">
        <f t="shared" si="2"/>
        <v>9.4922912105827005E-3</v>
      </c>
      <c r="O47" t="str">
        <f t="shared" si="3"/>
        <v>Mid</v>
      </c>
    </row>
    <row r="48" spans="1:15" x14ac:dyDescent="0.25">
      <c r="A48">
        <v>47</v>
      </c>
      <c r="B48">
        <v>6022</v>
      </c>
      <c r="C48" t="str">
        <v>BANK7 CORP.</v>
      </c>
      <c r="D48">
        <v>1746129</v>
      </c>
      <c r="E48" t="str">
        <v>0001140361-26-009657</v>
      </c>
      <c r="F48">
        <f>IFERROR(GETPIVOTDATA("value", financials_wide!$A$3, "adsh", $E48, "tag", "Assets"),"")</f>
        <v>1963640000</v>
      </c>
      <c r="G48">
        <f>IFERROR(GETPIVOTDATA("value", financials_wide!$A$3, "adsh", $E48, "tag", "EarningsPerShareBasic"),"")</f>
        <v>4.5599999999999996</v>
      </c>
      <c r="H48">
        <f>IFERROR(IFERROR(GETPIVOTDATA("value", financials_wide!$A$3, "adsh", $E48, "tag", "InterestAndDividendIncomeOperating"), GETPIVOTDATA("value", financials_wide!$A$3, "adsh", $E48, "tag", "InterestIncomeOperating")),"")</f>
        <v>128758000</v>
      </c>
      <c r="I48">
        <f>IFERROR(GETPIVOTDATA("value", financials_wide!$A$3, "adsh", $E48, "tag", "Liabilities"),"")</f>
        <v>1712645000</v>
      </c>
      <c r="J48">
        <f t="shared" si="0"/>
        <v>250995000</v>
      </c>
      <c r="K48">
        <f>IFERROR(GETPIVOTDATA("value", financials_wide!$A$3, "adsh", $E48, "tag", "NetIncomeLoss"),"")</f>
        <v>43069000</v>
      </c>
      <c r="L48">
        <f>IFERROR(GETPIVOTDATA("value", financials_wide!$A$3, "adsh", $E48, "tag", "StockholdersEquity"),"")</f>
        <v>250995000</v>
      </c>
      <c r="M48">
        <f t="shared" si="1"/>
        <v>7.8234227773461624</v>
      </c>
      <c r="N48" s="3">
        <f t="shared" si="2"/>
        <v>2.1933246419914038E-2</v>
      </c>
      <c r="O48" t="str">
        <f t="shared" si="3"/>
        <v>Small</v>
      </c>
    </row>
    <row r="49" spans="1:15" x14ac:dyDescent="0.25">
      <c r="A49">
        <v>48</v>
      </c>
      <c r="B49">
        <v>6022</v>
      </c>
      <c r="C49" t="str">
        <v>MUNCY COLUMBIA FINANCIAL CORP</v>
      </c>
      <c r="D49">
        <v>731122</v>
      </c>
      <c r="E49" t="str">
        <v>0001174947-26-000299</v>
      </c>
      <c r="F49">
        <f>IFERROR(GETPIVOTDATA("value", financials_wide!$A$3, "adsh", $E49, "tag", "Assets"),"")</f>
        <v>1673199000</v>
      </c>
      <c r="G49">
        <f>IFERROR(GETPIVOTDATA("value", financials_wide!$A$3, "adsh", $E49, "tag", "EarningsPerShareBasic"),"")</f>
        <v>6.85</v>
      </c>
      <c r="H49">
        <f>IFERROR(IFERROR(GETPIVOTDATA("value", financials_wide!$A$3, "adsh", $E49, "tag", "InterestAndDividendIncomeOperating"), GETPIVOTDATA("value", financials_wide!$A$3, "adsh", $E49, "tag", "InterestIncomeOperating")),"")</f>
        <v>88018000</v>
      </c>
      <c r="I49">
        <f>IFERROR(GETPIVOTDATA("value", financials_wide!$A$3, "adsh", $E49, "tag", "Liabilities"),"")</f>
        <v>1480658000</v>
      </c>
      <c r="J49">
        <f t="shared" si="0"/>
        <v>192541000</v>
      </c>
      <c r="K49">
        <f>IFERROR(GETPIVOTDATA("value", financials_wide!$A$3, "adsh", $E49, "tag", "NetIncomeLoss"),"")</f>
        <v>24225000</v>
      </c>
      <c r="L49">
        <f>IFERROR(GETPIVOTDATA("value", financials_wide!$A$3, "adsh", $E49, "tag", "StockholdersEquity"),"")</f>
        <v>192541000</v>
      </c>
      <c r="M49">
        <f t="shared" si="1"/>
        <v>8.6900919804093668</v>
      </c>
      <c r="N49" s="3">
        <f t="shared" si="2"/>
        <v>1.447825393154072E-2</v>
      </c>
      <c r="O49" t="str">
        <f t="shared" si="3"/>
        <v>Small</v>
      </c>
    </row>
    <row r="50" spans="1:15" x14ac:dyDescent="0.25">
      <c r="A50">
        <v>49</v>
      </c>
      <c r="B50">
        <v>6021</v>
      </c>
      <c r="C50" t="str">
        <v>ENB FINANCIAL CORP</v>
      </c>
      <c r="D50">
        <v>1437479</v>
      </c>
      <c r="E50" t="str">
        <v>0001174947-26-000410</v>
      </c>
      <c r="F50">
        <f>IFERROR(GETPIVOTDATA("value", financials_wide!$A$3, "adsh", $E50, "tag", "Assets"),"")</f>
        <v>2257727000</v>
      </c>
      <c r="G50">
        <f>IFERROR(GETPIVOTDATA("value", financials_wide!$A$3, "adsh", $E50, "tag", "EarningsPerShareBasic"),"")</f>
        <v>3.8</v>
      </c>
      <c r="H50">
        <f>IFERROR(IFERROR(GETPIVOTDATA("value", financials_wide!$A$3, "adsh", $E50, "tag", "InterestAndDividendIncomeOperating"), GETPIVOTDATA("value", financials_wide!$A$3, "adsh", $E50, "tag", "InterestIncomeOperating")),"")</f>
        <v>106109000</v>
      </c>
      <c r="I50">
        <f>IFERROR(GETPIVOTDATA("value", financials_wide!$A$3, "adsh", $E50, "tag", "Liabilities"),"")</f>
        <v>2096673000</v>
      </c>
      <c r="J50">
        <f t="shared" si="0"/>
        <v>161054000</v>
      </c>
      <c r="K50">
        <f>IFERROR(GETPIVOTDATA("value", financials_wide!$A$3, "adsh", $E50, "tag", "NetIncomeLoss"),"")</f>
        <v>21559000</v>
      </c>
      <c r="L50">
        <f>IFERROR(GETPIVOTDATA("value", financials_wide!$A$3, "adsh", $E50, "tag", "StockholdersEquity"),"")</f>
        <v>161054000</v>
      </c>
      <c r="M50">
        <f t="shared" si="1"/>
        <v>14.018447228879754</v>
      </c>
      <c r="N50" s="3">
        <f t="shared" si="2"/>
        <v>9.5489844432032744E-3</v>
      </c>
      <c r="O50" t="str">
        <f t="shared" si="3"/>
        <v>Small</v>
      </c>
    </row>
    <row r="51" spans="1:15" x14ac:dyDescent="0.25">
      <c r="A51">
        <v>50</v>
      </c>
      <c r="B51">
        <v>6022</v>
      </c>
      <c r="C51" t="str">
        <v>POPULAR, INC.</v>
      </c>
      <c r="D51">
        <v>763901</v>
      </c>
      <c r="E51" t="str">
        <v>0001193125-26-085756</v>
      </c>
      <c r="F51">
        <f>IFERROR(GETPIVOTDATA("value", financials_wide!$A$3, "adsh", $E51, "tag", "Assets"),"")</f>
        <v>75348267000</v>
      </c>
      <c r="G51">
        <f>IFERROR(GETPIVOTDATA("value", financials_wide!$A$3, "adsh", $E51, "tag", "EarningsPerShareBasic"),"")</f>
        <v>12.31</v>
      </c>
      <c r="H51">
        <f>IFERROR(IFERROR(GETPIVOTDATA("value", financials_wide!$A$3, "adsh", $E51, "tag", "InterestAndDividendIncomeOperating"), GETPIVOTDATA("value", financials_wide!$A$3, "adsh", $E51, "tag", "InterestIncomeOperating")),"")</f>
        <v>3783009000</v>
      </c>
      <c r="I51">
        <f>IFERROR(GETPIVOTDATA("value", financials_wide!$A$3, "adsh", $E51, "tag", "Liabilities"),"")</f>
        <v>69099188000</v>
      </c>
      <c r="J51">
        <f t="shared" si="0"/>
        <v>6249079000</v>
      </c>
      <c r="K51">
        <f>IFERROR(GETPIVOTDATA("value", financials_wide!$A$3, "adsh", $E51, "tag", "NetIncomeLoss"),"")</f>
        <v>833159000</v>
      </c>
      <c r="L51">
        <f>IFERROR(GETPIVOTDATA("value", financials_wide!$A$3, "adsh", $E51, "tag", "StockholdersEquity"),"")</f>
        <v>6249079000</v>
      </c>
      <c r="M51">
        <f t="shared" si="1"/>
        <v>12.057499513128255</v>
      </c>
      <c r="N51" s="3">
        <f t="shared" si="2"/>
        <v>1.1057440776972349E-2</v>
      </c>
      <c r="O51" t="str">
        <f t="shared" si="3"/>
        <v>Large</v>
      </c>
    </row>
    <row r="52" spans="1:15" x14ac:dyDescent="0.25">
      <c r="A52">
        <v>51</v>
      </c>
      <c r="B52">
        <v>6022</v>
      </c>
      <c r="C52" t="str">
        <v>UWHARRIE CAPITAL CORP</v>
      </c>
      <c r="D52">
        <v>898171</v>
      </c>
      <c r="E52" t="str">
        <v>0001193125-26-093397</v>
      </c>
      <c r="F52">
        <f>IFERROR(GETPIVOTDATA("value", financials_wide!$A$3, "adsh", $E52, "tag", "Assets"),"")</f>
        <v>1196345000</v>
      </c>
      <c r="G52">
        <f>IFERROR(GETPIVOTDATA("value", financials_wide!$A$3, "adsh", $E52, "tag", "EarningsPerShareBasic"),"")</f>
        <v>1.49</v>
      </c>
      <c r="H52">
        <f>IFERROR(IFERROR(GETPIVOTDATA("value", financials_wide!$A$3, "adsh", $E52, "tag", "InterestAndDividendIncomeOperating"), GETPIVOTDATA("value", financials_wide!$A$3, "adsh", $E52, "tag", "InterestIncomeOperating")),"")</f>
        <v>57820000</v>
      </c>
      <c r="I52">
        <f>IFERROR(GETPIVOTDATA("value", financials_wide!$A$3, "adsh", $E52, "tag", "Liabilities"),"")</f>
        <v>1120788000</v>
      </c>
      <c r="J52">
        <f t="shared" si="0"/>
        <v>75557000</v>
      </c>
      <c r="K52">
        <f>IFERROR(GETPIVOTDATA("value", financials_wide!$A$3, "adsh", $E52, "tag", "NetIncomeLoss"),"")</f>
        <v>0</v>
      </c>
      <c r="L52">
        <f>IFERROR(GETPIVOTDATA("value", financials_wide!$A$3, "adsh", $E52, "tag", "StockholdersEquity"),"")</f>
        <v>64902000</v>
      </c>
      <c r="M52">
        <f t="shared" si="1"/>
        <v>18.433099134079072</v>
      </c>
      <c r="N52" s="3">
        <f t="shared" si="2"/>
        <v>0</v>
      </c>
      <c r="O52" t="str">
        <f t="shared" si="3"/>
        <v>Small</v>
      </c>
    </row>
    <row r="53" spans="1:15" x14ac:dyDescent="0.25">
      <c r="A53">
        <v>52</v>
      </c>
      <c r="B53">
        <v>6022</v>
      </c>
      <c r="C53" t="str">
        <v>EQUITY BANCSHARES INC</v>
      </c>
      <c r="D53">
        <v>1227500</v>
      </c>
      <c r="E53" t="str">
        <v>0001193125-26-096665</v>
      </c>
      <c r="F53">
        <f>IFERROR(GETPIVOTDATA("value", financials_wide!$A$3, "adsh", $E53, "tag", "Assets"),"")</f>
        <v>6373172000</v>
      </c>
      <c r="G53">
        <f>IFERROR(GETPIVOTDATA("value", financials_wide!$A$3, "adsh", $E53, "tag", "EarningsPerShareBasic"),"")</f>
        <v>1.24</v>
      </c>
      <c r="H53">
        <f>IFERROR(IFERROR(GETPIVOTDATA("value", financials_wide!$A$3, "adsh", $E53, "tag", "InterestAndDividendIncomeOperating"), GETPIVOTDATA("value", financials_wide!$A$3, "adsh", $E53, "tag", "InterestIncomeOperating")),"")</f>
        <v>330835000</v>
      </c>
      <c r="I53">
        <f>IFERROR(GETPIVOTDATA("value", financials_wide!$A$3, "adsh", $E53, "tag", "Liabilities"),"")</f>
        <v>5641118000</v>
      </c>
      <c r="J53">
        <f t="shared" si="0"/>
        <v>732054000</v>
      </c>
      <c r="K53">
        <f>IFERROR(GETPIVOTDATA("value", financials_wide!$A$3, "adsh", $E53, "tag", "NetIncomeLoss"),"")</f>
        <v>22726000</v>
      </c>
      <c r="L53">
        <f>IFERROR(GETPIVOTDATA("value", financials_wide!$A$3, "adsh", $E53, "tag", "StockholdersEquity"),"")</f>
        <v>732054000</v>
      </c>
      <c r="M53">
        <f t="shared" si="1"/>
        <v>8.70587688886339</v>
      </c>
      <c r="N53" s="3">
        <f t="shared" si="2"/>
        <v>3.5658852452122741E-3</v>
      </c>
      <c r="O53" t="str">
        <f t="shared" si="3"/>
        <v>Mid</v>
      </c>
    </row>
    <row r="54" spans="1:15" x14ac:dyDescent="0.25">
      <c r="A54">
        <v>53</v>
      </c>
      <c r="B54">
        <v>6022</v>
      </c>
      <c r="C54" t="str">
        <v>CIVISTA BANCSHARES, INC.</v>
      </c>
      <c r="D54">
        <v>944745</v>
      </c>
      <c r="E54" t="str">
        <v>0001193125-26-096836</v>
      </c>
      <c r="F54">
        <f>IFERROR(GETPIVOTDATA("value", financials_wide!$A$3, "adsh", $E54, "tag", "Assets"),"")</f>
        <v>4336453000</v>
      </c>
      <c r="G54">
        <f>IFERROR(GETPIVOTDATA("value", financials_wide!$A$3, "adsh", $E54, "tag", "EarningsPerShareBasic"),"")</f>
        <v>2.64</v>
      </c>
      <c r="H54">
        <f>IFERROR(IFERROR(GETPIVOTDATA("value", financials_wide!$A$3, "adsh", $E54, "tag", "InterestAndDividendIncomeOperating"), GETPIVOTDATA("value", financials_wide!$A$3, "adsh", $E54, "tag", "InterestIncomeOperating")),"")</f>
        <v>220985000</v>
      </c>
      <c r="I54">
        <f>IFERROR(GETPIVOTDATA("value", financials_wide!$A$3, "adsh", $E54, "tag", "Liabilities"),"")</f>
        <v>3792979000</v>
      </c>
      <c r="J54">
        <f t="shared" si="0"/>
        <v>543474000</v>
      </c>
      <c r="K54">
        <f>IFERROR(GETPIVOTDATA("value", financials_wide!$A$3, "adsh", $E54, "tag", "NetIncomeLoss"),"")</f>
        <v>46212000</v>
      </c>
      <c r="L54">
        <f>IFERROR(GETPIVOTDATA("value", financials_wide!$A$3, "adsh", $E54, "tag", "StockholdersEquity"),"")</f>
        <v>543474000</v>
      </c>
      <c r="M54">
        <f t="shared" si="1"/>
        <v>7.9791360764268395</v>
      </c>
      <c r="N54" s="3">
        <f t="shared" si="2"/>
        <v>1.0656635734320193E-2</v>
      </c>
      <c r="O54" t="str">
        <f t="shared" si="3"/>
        <v>Mid</v>
      </c>
    </row>
    <row r="55" spans="1:15" x14ac:dyDescent="0.25">
      <c r="A55">
        <v>54</v>
      </c>
      <c r="B55">
        <v>6022</v>
      </c>
      <c r="C55" t="str">
        <v>BANCPLUS CORP</v>
      </c>
      <c r="D55">
        <v>1118004</v>
      </c>
      <c r="E55" t="str">
        <v>0001193125-26-098059</v>
      </c>
      <c r="F55">
        <f>IFERROR(GETPIVOTDATA("value", financials_wide!$A$3, "adsh", $E55, "tag", "Assets"),"")</f>
        <v>8078448000</v>
      </c>
      <c r="G55">
        <f>IFERROR(GETPIVOTDATA("value", financials_wide!$A$3, "adsh", $E55, "tag", "EarningsPerShareBasic"),"")</f>
        <v>6.76</v>
      </c>
      <c r="H55">
        <f>IFERROR(IFERROR(GETPIVOTDATA("value", financials_wide!$A$3, "adsh", $E55, "tag", "InterestAndDividendIncomeOperating"), GETPIVOTDATA("value", financials_wide!$A$3, "adsh", $E55, "tag", "InterestIncomeOperating")),"")</f>
        <v>0</v>
      </c>
      <c r="I55">
        <f>IFERROR(GETPIVOTDATA("value", financials_wide!$A$3, "adsh", $E55, "tag", "Liabilities"),"")</f>
        <v>7226430000</v>
      </c>
      <c r="J55">
        <f t="shared" si="0"/>
        <v>852018000</v>
      </c>
      <c r="K55">
        <f>IFERROR(GETPIVOTDATA("value", financials_wide!$A$3, "adsh", $E55, "tag", "NetIncomeLoss"),"")</f>
        <v>82353000</v>
      </c>
      <c r="L55">
        <f>IFERROR(GETPIVOTDATA("value", financials_wide!$A$3, "adsh", $E55, "tag", "StockholdersEquity"),"")</f>
        <v>746701000</v>
      </c>
      <c r="M55">
        <f t="shared" si="1"/>
        <v>10.818852525977601</v>
      </c>
      <c r="N55" s="3">
        <f t="shared" si="2"/>
        <v>1.0194161056678213E-2</v>
      </c>
      <c r="O55" t="str">
        <f t="shared" si="3"/>
        <v>Mid</v>
      </c>
    </row>
    <row r="56" spans="1:15" x14ac:dyDescent="0.25">
      <c r="A56">
        <v>55</v>
      </c>
      <c r="B56">
        <v>6021</v>
      </c>
      <c r="C56" t="str">
        <v>FINANCIAL INSTITUTIONS INC</v>
      </c>
      <c r="D56">
        <v>862831</v>
      </c>
      <c r="E56" t="str">
        <v>0001193125-26-098467</v>
      </c>
      <c r="F56">
        <f>IFERROR(GETPIVOTDATA("value", financials_wide!$A$3, "adsh", $E56, "tag", "Assets"),"")</f>
        <v>6274140000</v>
      </c>
      <c r="G56">
        <f>IFERROR(GETPIVOTDATA("value", financials_wide!$A$3, "adsh", $E56, "tag", "EarningsPerShareBasic"),"")</f>
        <v>3.65</v>
      </c>
      <c r="H56">
        <f>IFERROR(IFERROR(GETPIVOTDATA("value", financials_wide!$A$3, "adsh", $E56, "tag", "InterestAndDividendIncomeOperating"), GETPIVOTDATA("value", financials_wide!$A$3, "adsh", $E56, "tag", "InterestIncomeOperating")),"")</f>
        <v>332989000</v>
      </c>
      <c r="I56">
        <f>IFERROR(GETPIVOTDATA("value", financials_wide!$A$3, "adsh", $E56, "tag", "Liabilities"),"")</f>
        <v>5645286000</v>
      </c>
      <c r="J56">
        <f t="shared" si="0"/>
        <v>628854000</v>
      </c>
      <c r="K56">
        <f>IFERROR(GETPIVOTDATA("value", financials_wide!$A$3, "adsh", $E56, "tag", "NetIncomeLoss"),"")</f>
        <v>74867000</v>
      </c>
      <c r="L56">
        <f>IFERROR(GETPIVOTDATA("value", financials_wide!$A$3, "adsh", $E56, "tag", "StockholdersEquity"),"")</f>
        <v>628854000</v>
      </c>
      <c r="M56">
        <f t="shared" si="1"/>
        <v>9.9771012031409523</v>
      </c>
      <c r="N56" s="3">
        <f t="shared" si="2"/>
        <v>1.1932631404463401E-2</v>
      </c>
      <c r="O56" t="str">
        <f t="shared" si="3"/>
        <v>Mid</v>
      </c>
    </row>
    <row r="57" spans="1:15" x14ac:dyDescent="0.25">
      <c r="A57">
        <v>56</v>
      </c>
      <c r="B57">
        <v>6022</v>
      </c>
      <c r="C57" t="str">
        <v>RIVER FINANCIAL CORP</v>
      </c>
      <c r="D57">
        <v>1641601</v>
      </c>
      <c r="E57" t="str">
        <v>0001193125-26-099933</v>
      </c>
      <c r="F57">
        <f>IFERROR(GETPIVOTDATA("value", financials_wide!$A$3, "adsh", $E57, "tag", "Assets"),"")</f>
        <v>3787385000</v>
      </c>
      <c r="G57">
        <f>IFERROR(GETPIVOTDATA("value", financials_wide!$A$3, "adsh", $E57, "tag", "EarningsPerShareBasic"),"")</f>
        <v>5.43</v>
      </c>
      <c r="H57">
        <f>IFERROR(IFERROR(GETPIVOTDATA("value", financials_wide!$A$3, "adsh", $E57, "tag", "InterestAndDividendIncomeOperating"), GETPIVOTDATA("value", financials_wide!$A$3, "adsh", $E57, "tag", "InterestIncomeOperating")),"")</f>
        <v>197611000</v>
      </c>
      <c r="I57">
        <f>IFERROR(GETPIVOTDATA("value", financials_wide!$A$3, "adsh", $E57, "tag", "Liabilities"),"")</f>
        <v>3487525000</v>
      </c>
      <c r="J57">
        <f t="shared" si="0"/>
        <v>299860000</v>
      </c>
      <c r="K57">
        <f>IFERROR(GETPIVOTDATA("value", financials_wide!$A$3, "adsh", $E57, "tag", "NetIncomeLoss"),"")</f>
        <v>42105000</v>
      </c>
      <c r="L57">
        <f>IFERROR(GETPIVOTDATA("value", financials_wide!$A$3, "adsh", $E57, "tag", "StockholdersEquity"),"")</f>
        <v>293627000</v>
      </c>
      <c r="M57">
        <f t="shared" si="1"/>
        <v>12.898626488708464</v>
      </c>
      <c r="N57" s="3">
        <f t="shared" si="2"/>
        <v>1.1117169234181368E-2</v>
      </c>
      <c r="O57" t="str">
        <f t="shared" si="3"/>
        <v>Mid</v>
      </c>
    </row>
    <row r="58" spans="1:15" x14ac:dyDescent="0.25">
      <c r="A58">
        <v>57</v>
      </c>
      <c r="B58">
        <v>6022</v>
      </c>
      <c r="C58" t="str">
        <v>FIRST US BANCSHARES, INC.</v>
      </c>
      <c r="D58">
        <v>717806</v>
      </c>
      <c r="E58" t="str">
        <v>0001193125-26-103635</v>
      </c>
      <c r="F58">
        <f>IFERROR(GETPIVOTDATA("value", financials_wide!$A$3, "adsh", $E58, "tag", "Assets"),"")</f>
        <v>1154785000</v>
      </c>
      <c r="G58">
        <f>IFERROR(GETPIVOTDATA("value", financials_wide!$A$3, "adsh", $E58, "tag", "EarningsPerShareBasic"),"")</f>
        <v>1.03</v>
      </c>
      <c r="H58">
        <f>IFERROR(IFERROR(GETPIVOTDATA("value", financials_wide!$A$3, "adsh", $E58, "tag", "InterestAndDividendIncomeOperating"), GETPIVOTDATA("value", financials_wide!$A$3, "adsh", $E58, "tag", "InterestIncomeOperating")),"")</f>
        <v>59415000</v>
      </c>
      <c r="I58">
        <f>IFERROR(GETPIVOTDATA("value", financials_wide!$A$3, "adsh", $E58, "tag", "Liabilities"),"")</f>
        <v>1049137000</v>
      </c>
      <c r="J58">
        <f t="shared" si="0"/>
        <v>105648000</v>
      </c>
      <c r="K58">
        <f>IFERROR(GETPIVOTDATA("value", financials_wide!$A$3, "adsh", $E58, "tag", "NetIncomeLoss"),"")</f>
        <v>5992000</v>
      </c>
      <c r="L58">
        <f>IFERROR(GETPIVOTDATA("value", financials_wide!$A$3, "adsh", $E58, "tag", "StockholdersEquity"),"")</f>
        <v>0</v>
      </c>
      <c r="M58" t="e">
        <f t="shared" si="1"/>
        <v>#N/A</v>
      </c>
      <c r="N58" s="3">
        <f t="shared" si="2"/>
        <v>5.1888446767147135E-3</v>
      </c>
      <c r="O58" t="str">
        <f t="shared" si="3"/>
        <v>Small</v>
      </c>
    </row>
    <row r="59" spans="1:15" x14ac:dyDescent="0.25">
      <c r="A59">
        <v>58</v>
      </c>
      <c r="B59">
        <v>6021</v>
      </c>
      <c r="C59" t="str">
        <v>CF BANKSHARES INC.</v>
      </c>
      <c r="D59">
        <v>1070680</v>
      </c>
      <c r="E59" t="str">
        <v>0001193125-26-103638</v>
      </c>
      <c r="F59">
        <f>IFERROR(GETPIVOTDATA("value", financials_wide!$A$3, "adsh", $E59, "tag", "Assets"),"")</f>
        <v>2117321000</v>
      </c>
      <c r="G59">
        <f>IFERROR(GETPIVOTDATA("value", financials_wide!$A$3, "adsh", $E59, "tag", "EarningsPerShareBasic"),"")</f>
        <v>2.7</v>
      </c>
      <c r="H59">
        <f>IFERROR(IFERROR(GETPIVOTDATA("value", financials_wide!$A$3, "adsh", $E59, "tag", "InterestAndDividendIncomeOperating"), GETPIVOTDATA("value", financials_wide!$A$3, "adsh", $E59, "tag", "InterestIncomeOperating")),"")</f>
        <v>119995000</v>
      </c>
      <c r="I59">
        <f>IFERROR(GETPIVOTDATA("value", financials_wide!$A$3, "adsh", $E59, "tag", "Liabilities"),"")</f>
        <v>1932895000</v>
      </c>
      <c r="J59">
        <f t="shared" si="0"/>
        <v>184426000</v>
      </c>
      <c r="K59">
        <f>IFERROR(GETPIVOTDATA("value", financials_wide!$A$3, "adsh", $E59, "tag", "NetIncomeLoss"),"")</f>
        <v>17541000</v>
      </c>
      <c r="L59">
        <f>IFERROR(GETPIVOTDATA("value", financials_wide!$A$3, "adsh", $E59, "tag", "StockholdersEquity"),"")</f>
        <v>184426000</v>
      </c>
      <c r="M59">
        <f t="shared" si="1"/>
        <v>11.480599264745752</v>
      </c>
      <c r="N59" s="3">
        <f t="shared" si="2"/>
        <v>8.2845255868146585E-3</v>
      </c>
      <c r="O59" t="str">
        <f t="shared" si="3"/>
        <v>Small</v>
      </c>
    </row>
    <row r="60" spans="1:15" x14ac:dyDescent="0.25">
      <c r="A60">
        <v>59</v>
      </c>
      <c r="B60">
        <v>6022</v>
      </c>
      <c r="C60" t="str">
        <v>COASTALSOUTH BANCSHARES, INC.</v>
      </c>
      <c r="D60">
        <v>1297107</v>
      </c>
      <c r="E60" t="str">
        <v>0001193125-26-104114</v>
      </c>
      <c r="F60">
        <f>IFERROR(GETPIVOTDATA("value", financials_wide!$A$3, "adsh", $E60, "tag", "Assets"),"")</f>
        <v>2306586000</v>
      </c>
      <c r="G60">
        <f>IFERROR(GETPIVOTDATA("value", financials_wide!$A$3, "adsh", $E60, "tag", "EarningsPerShareBasic"),"")</f>
        <v>2.2400000000000002</v>
      </c>
      <c r="H60">
        <f>IFERROR(IFERROR(GETPIVOTDATA("value", financials_wide!$A$3, "adsh", $E60, "tag", "InterestAndDividendIncomeOperating"), GETPIVOTDATA("value", financials_wide!$A$3, "adsh", $E60, "tag", "InterestIncomeOperating")),"")</f>
        <v>127713000</v>
      </c>
      <c r="I60">
        <f>IFERROR(GETPIVOTDATA("value", financials_wide!$A$3, "adsh", $E60, "tag", "Liabilities"),"")</f>
        <v>2047057000</v>
      </c>
      <c r="J60">
        <f t="shared" si="0"/>
        <v>259529000</v>
      </c>
      <c r="K60">
        <f>IFERROR(GETPIVOTDATA("value", financials_wide!$A$3, "adsh", $E60, "tag", "NetIncomeLoss"),"")</f>
        <v>24892000</v>
      </c>
      <c r="L60">
        <f>IFERROR(GETPIVOTDATA("value", financials_wide!$A$3, "adsh", $E60, "tag", "StockholdersEquity"),"")</f>
        <v>259529000</v>
      </c>
      <c r="M60">
        <f t="shared" si="1"/>
        <v>8.8875848171109979</v>
      </c>
      <c r="N60" s="3">
        <f t="shared" si="2"/>
        <v>1.079170687761046E-2</v>
      </c>
      <c r="O60" t="str">
        <f t="shared" si="3"/>
        <v>Small</v>
      </c>
    </row>
    <row r="61" spans="1:15" x14ac:dyDescent="0.25">
      <c r="A61">
        <v>60</v>
      </c>
      <c r="B61">
        <v>6022</v>
      </c>
      <c r="C61" t="str">
        <v>LINKBANCORP, INC.</v>
      </c>
      <c r="D61">
        <v>1756701</v>
      </c>
      <c r="E61" t="str">
        <v>0001193125-26-104211</v>
      </c>
      <c r="F61">
        <f>IFERROR(GETPIVOTDATA("value", financials_wide!$A$3, "adsh", $E61, "tag", "Assets"),"")</f>
        <v>3070929000</v>
      </c>
      <c r="G61">
        <f>IFERROR(GETPIVOTDATA("value", financials_wide!$A$3, "adsh", $E61, "tag", "EarningsPerShareBasic"),"")</f>
        <v>0.9</v>
      </c>
      <c r="H61">
        <f>IFERROR(IFERROR(GETPIVOTDATA("value", financials_wide!$A$3, "adsh", $E61, "tag", "InterestAndDividendIncomeOperating"), GETPIVOTDATA("value", financials_wide!$A$3, "adsh", $E61, "tag", "InterestIncomeOperating")),"")</f>
        <v>164589000</v>
      </c>
      <c r="I61">
        <f>IFERROR(GETPIVOTDATA("value", financials_wide!$A$3, "adsh", $E61, "tag", "Liabilities"),"")</f>
        <v>2764497000</v>
      </c>
      <c r="J61">
        <f t="shared" si="0"/>
        <v>306432000</v>
      </c>
      <c r="K61">
        <f>IFERROR(GETPIVOTDATA("value", financials_wide!$A$3, "adsh", $E61, "tag", "NetIncomeLoss"),"")</f>
        <v>33511000</v>
      </c>
      <c r="L61">
        <f>IFERROR(GETPIVOTDATA("value", financials_wide!$A$3, "adsh", $E61, "tag", "StockholdersEquity"),"")</f>
        <v>0</v>
      </c>
      <c r="M61" t="e">
        <f t="shared" si="1"/>
        <v>#N/A</v>
      </c>
      <c r="N61" s="3">
        <f t="shared" si="2"/>
        <v>1.0912333043193119E-2</v>
      </c>
      <c r="O61" t="str">
        <f t="shared" si="3"/>
        <v>Mid</v>
      </c>
    </row>
    <row r="62" spans="1:15" x14ac:dyDescent="0.25">
      <c r="A62">
        <v>61</v>
      </c>
      <c r="B62">
        <v>6022</v>
      </c>
      <c r="C62" t="str">
        <v>BLUE RIDGE BANKSHARES, INC.</v>
      </c>
      <c r="D62">
        <v>842717</v>
      </c>
      <c r="E62" t="str">
        <v>0001193125-26-104410</v>
      </c>
      <c r="F62">
        <f>IFERROR(GETPIVOTDATA("value", financials_wide!$A$3, "adsh", $E62, "tag", "Assets"),"")</f>
        <v>2432589000</v>
      </c>
      <c r="G62">
        <f>IFERROR(GETPIVOTDATA("value", financials_wide!$A$3, "adsh", $E62, "tag", "EarningsPerShareBasic"),"")</f>
        <v>0</v>
      </c>
      <c r="H62">
        <f>IFERROR(IFERROR(GETPIVOTDATA("value", financials_wide!$A$3, "adsh", $E62, "tag", "InterestAndDividendIncomeOperating"), GETPIVOTDATA("value", financials_wide!$A$3, "adsh", $E62, "tag", "InterestIncomeOperating")),"")</f>
        <v>137773000</v>
      </c>
      <c r="I62">
        <f>IFERROR(GETPIVOTDATA("value", financials_wide!$A$3, "adsh", $E62, "tag", "Liabilities"),"")</f>
        <v>2108898000</v>
      </c>
      <c r="J62">
        <f t="shared" si="0"/>
        <v>323691000</v>
      </c>
      <c r="K62">
        <f>IFERROR(GETPIVOTDATA("value", financials_wide!$A$3, "adsh", $E62, "tag", "NetIncomeLoss"),"")</f>
        <v>0</v>
      </c>
      <c r="L62">
        <f>IFERROR(GETPIVOTDATA("value", financials_wide!$A$3, "adsh", $E62, "tag", "StockholdersEquity"),"")</f>
        <v>0</v>
      </c>
      <c r="M62" t="e">
        <f t="shared" si="1"/>
        <v>#N/A</v>
      </c>
      <c r="N62" s="3">
        <f t="shared" si="2"/>
        <v>0</v>
      </c>
      <c r="O62" t="str">
        <f t="shared" si="3"/>
        <v>Small</v>
      </c>
    </row>
    <row r="63" spans="1:15" x14ac:dyDescent="0.25">
      <c r="A63">
        <v>62</v>
      </c>
      <c r="B63">
        <v>6022</v>
      </c>
      <c r="C63" t="str">
        <v>CHOICEONE FINANCIAL SERVICES INC</v>
      </c>
      <c r="D63">
        <v>803164</v>
      </c>
      <c r="E63" t="str">
        <v>0001193125-26-105046</v>
      </c>
      <c r="F63">
        <f>IFERROR(GETPIVOTDATA("value", financials_wide!$A$3, "adsh", $E63, "tag", "Assets"),"")</f>
        <v>4410551000</v>
      </c>
      <c r="G63">
        <f>IFERROR(GETPIVOTDATA("value", financials_wide!$A$3, "adsh", $E63, "tag", "EarningsPerShareBasic"),"")</f>
        <v>2.02</v>
      </c>
      <c r="H63">
        <f>IFERROR(IFERROR(GETPIVOTDATA("value", financials_wide!$A$3, "adsh", $E63, "tag", "InterestAndDividendIncomeOperating"), GETPIVOTDATA("value", financials_wide!$A$3, "adsh", $E63, "tag", "InterestIncomeOperating")),"")</f>
        <v>202958000</v>
      </c>
      <c r="I63">
        <f>IFERROR(GETPIVOTDATA("value", financials_wide!$A$3, "adsh", $E63, "tag", "Liabilities"),"")</f>
        <v>3945198000</v>
      </c>
      <c r="J63">
        <f t="shared" si="0"/>
        <v>465353000</v>
      </c>
      <c r="K63">
        <f>IFERROR(GETPIVOTDATA("value", financials_wide!$A$3, "adsh", $E63, "tag", "NetIncomeLoss"),"")</f>
        <v>28176000</v>
      </c>
      <c r="L63">
        <f>IFERROR(GETPIVOTDATA("value", financials_wide!$A$3, "adsh", $E63, "tag", "StockholdersEquity"),"")</f>
        <v>465353000</v>
      </c>
      <c r="M63">
        <f t="shared" si="1"/>
        <v>9.4778608926986614</v>
      </c>
      <c r="N63" s="3">
        <f t="shared" si="2"/>
        <v>6.3883174687244292E-3</v>
      </c>
      <c r="O63" t="str">
        <f t="shared" si="3"/>
        <v>Mid</v>
      </c>
    </row>
    <row r="64" spans="1:15" x14ac:dyDescent="0.25">
      <c r="A64">
        <v>63</v>
      </c>
      <c r="B64">
        <v>6022</v>
      </c>
      <c r="C64" t="str">
        <v>PRINCETON BANCORP, INC.</v>
      </c>
      <c r="D64">
        <v>1913971</v>
      </c>
      <c r="E64" t="str">
        <v>0001193125-26-106151</v>
      </c>
      <c r="F64">
        <f>IFERROR(GETPIVOTDATA("value", financials_wide!$A$3, "adsh", $E64, "tag", "Assets"),"")</f>
        <v>2285147000</v>
      </c>
      <c r="G64">
        <f>IFERROR(GETPIVOTDATA("value", financials_wide!$A$3, "adsh", $E64, "tag", "EarningsPerShareBasic"),"")</f>
        <v>2.73</v>
      </c>
      <c r="H64">
        <f>IFERROR(IFERROR(GETPIVOTDATA("value", financials_wide!$A$3, "adsh", $E64, "tag", "InterestAndDividendIncomeOperating"), GETPIVOTDATA("value", financials_wide!$A$3, "adsh", $E64, "tag", "InterestIncomeOperating")),"")</f>
        <v>130552000</v>
      </c>
      <c r="I64">
        <f>IFERROR(GETPIVOTDATA("value", financials_wide!$A$3, "adsh", $E64, "tag", "Liabilities"),"")</f>
        <v>2014435000</v>
      </c>
      <c r="J64">
        <f t="shared" si="0"/>
        <v>270712000</v>
      </c>
      <c r="K64">
        <f>IFERROR(GETPIVOTDATA("value", financials_wide!$A$3, "adsh", $E64, "tag", "NetIncomeLoss"),"")</f>
        <v>18611000</v>
      </c>
      <c r="L64">
        <f>IFERROR(GETPIVOTDATA("value", financials_wide!$A$3, "adsh", $E64, "tag", "StockholdersEquity"),"")</f>
        <v>270712000</v>
      </c>
      <c r="M64">
        <f t="shared" si="1"/>
        <v>8.4412475250450658</v>
      </c>
      <c r="N64" s="3">
        <f t="shared" si="2"/>
        <v>8.1443338218504108E-3</v>
      </c>
      <c r="O64" t="str">
        <f t="shared" si="3"/>
        <v>Small</v>
      </c>
    </row>
    <row r="65" spans="1:15" x14ac:dyDescent="0.25">
      <c r="A65">
        <v>64</v>
      </c>
      <c r="B65">
        <v>6022</v>
      </c>
      <c r="C65" t="str">
        <v>QNB CORP.</v>
      </c>
      <c r="D65">
        <v>750558</v>
      </c>
      <c r="E65" t="str">
        <v>0001193125-26-107482</v>
      </c>
      <c r="F65">
        <f>IFERROR(GETPIVOTDATA("value", financials_wide!$A$3, "adsh", $E65, "tag", "Assets"),"")</f>
        <v>1906005000</v>
      </c>
      <c r="G65">
        <f>IFERROR(GETPIVOTDATA("value", financials_wide!$A$3, "adsh", $E65, "tag", "EarningsPerShareBasic"),"")</f>
        <v>3.79</v>
      </c>
      <c r="H65">
        <f>IFERROR(IFERROR(GETPIVOTDATA("value", financials_wide!$A$3, "adsh", $E65, "tag", "InterestAndDividendIncomeOperating"), GETPIVOTDATA("value", financials_wide!$A$3, "adsh", $E65, "tag", "InterestIncomeOperating")),"")</f>
        <v>92638000</v>
      </c>
      <c r="I65">
        <f>IFERROR(GETPIVOTDATA("value", financials_wide!$A$3, "adsh", $E65, "tag", "Liabilities"),"")</f>
        <v>1776442000</v>
      </c>
      <c r="J65">
        <f t="shared" si="0"/>
        <v>129563000</v>
      </c>
      <c r="K65">
        <f>IFERROR(GETPIVOTDATA("value", financials_wide!$A$3, "adsh", $E65, "tag", "NetIncomeLoss"),"")</f>
        <v>14090000</v>
      </c>
      <c r="L65">
        <f>IFERROR(GETPIVOTDATA("value", financials_wide!$A$3, "adsh", $E65, "tag", "StockholdersEquity"),"")</f>
        <v>129563000</v>
      </c>
      <c r="M65">
        <f t="shared" si="1"/>
        <v>14.711028611563487</v>
      </c>
      <c r="N65" s="3">
        <f t="shared" si="2"/>
        <v>7.3924255182961224E-3</v>
      </c>
      <c r="O65" t="str">
        <f t="shared" si="3"/>
        <v>Small</v>
      </c>
    </row>
    <row r="66" spans="1:15" x14ac:dyDescent="0.25">
      <c r="A66">
        <v>65</v>
      </c>
      <c r="B66">
        <v>6022</v>
      </c>
      <c r="C66" t="str">
        <v>CSB BANCORP, INC.</v>
      </c>
      <c r="D66">
        <v>880417</v>
      </c>
      <c r="E66" t="str">
        <v>0001193125-26-108381</v>
      </c>
      <c r="F66">
        <f>IFERROR(GETPIVOTDATA("value", financials_wide!$A$3, "adsh", $E66, "tag", "Assets"),"")</f>
        <v>1292736000</v>
      </c>
      <c r="G66">
        <f>IFERROR(GETPIVOTDATA("value", financials_wide!$A$3, "adsh", $E66, "tag", "EarningsPerShareBasic"),"")</f>
        <v>5.07</v>
      </c>
      <c r="H66">
        <f>IFERROR(IFERROR(GETPIVOTDATA("value", financials_wide!$A$3, "adsh", $E66, "tag", "InterestAndDividendIncomeOperating"), GETPIVOTDATA("value", financials_wide!$A$3, "adsh", $E66, "tag", "InterestIncomeOperating")),"")</f>
        <v>57037000</v>
      </c>
      <c r="I66">
        <f>IFERROR(GETPIVOTDATA("value", financials_wide!$A$3, "adsh", $E66, "tag", "Liabilities"),"")</f>
        <v>1166456000</v>
      </c>
      <c r="J66">
        <f t="shared" si="0"/>
        <v>126280000</v>
      </c>
      <c r="K66">
        <f>IFERROR(GETPIVOTDATA("value", financials_wide!$A$3, "adsh", $E66, "tag", "NetIncomeLoss"),"")</f>
        <v>13363000</v>
      </c>
      <c r="L66">
        <f>IFERROR(GETPIVOTDATA("value", financials_wide!$A$3, "adsh", $E66, "tag", "StockholdersEquity"),"")</f>
        <v>126280000</v>
      </c>
      <c r="M66">
        <f t="shared" si="1"/>
        <v>10.237060500475135</v>
      </c>
      <c r="N66" s="3">
        <f t="shared" si="2"/>
        <v>1.0336990692608544E-2</v>
      </c>
      <c r="O66" t="str">
        <f t="shared" si="3"/>
        <v>Small</v>
      </c>
    </row>
    <row r="67" spans="1:15" x14ac:dyDescent="0.25">
      <c r="A67">
        <v>66</v>
      </c>
      <c r="B67">
        <v>6022</v>
      </c>
      <c r="C67" t="str">
        <v>AUBURN NATIONAL BANCORPORATION, INC</v>
      </c>
      <c r="D67">
        <v>750574</v>
      </c>
      <c r="E67" t="str">
        <v>0001193125-26-111012</v>
      </c>
      <c r="F67">
        <f>IFERROR(GETPIVOTDATA("value", financials_wide!$A$3, "adsh", $E67, "tag", "Assets"),"")</f>
        <v>1018797000</v>
      </c>
      <c r="G67">
        <f>IFERROR(GETPIVOTDATA("value", financials_wide!$A$3, "adsh", $E67, "tag", "EarningsPerShareBasic"),"")</f>
        <v>2.08</v>
      </c>
      <c r="H67">
        <f>IFERROR(IFERROR(GETPIVOTDATA("value", financials_wide!$A$3, "adsh", $E67, "tag", "InterestAndDividendIncomeOperating"), GETPIVOTDATA("value", financials_wide!$A$3, "adsh", $E67, "tag", "InterestIncomeOperating")),"")</f>
        <v>40768000</v>
      </c>
      <c r="I67">
        <f>IFERROR(GETPIVOTDATA("value", financials_wide!$A$3, "adsh", $E67, "tag", "Liabilities"),"")</f>
        <v>926744000</v>
      </c>
      <c r="J67">
        <f t="shared" ref="J67:J130" si="6">IFERROR(F67-I67,"")</f>
        <v>92053000</v>
      </c>
      <c r="K67">
        <f>IFERROR(GETPIVOTDATA("value", financials_wide!$A$3, "adsh", $E67, "tag", "NetIncomeLoss"),"")</f>
        <v>0</v>
      </c>
      <c r="L67">
        <f>IFERROR(GETPIVOTDATA("value", financials_wide!$A$3, "adsh", $E67, "tag", "StockholdersEquity"),"")</f>
        <v>0</v>
      </c>
      <c r="M67" t="e">
        <f t="shared" ref="M67:M130" si="7">IFERROR(F67/L67,NA())</f>
        <v>#N/A</v>
      </c>
      <c r="N67" s="3">
        <f t="shared" ref="N67:N130" si="8">IFERROR(K67/F67,NA())</f>
        <v>0</v>
      </c>
      <c r="O67" t="str">
        <f t="shared" ref="O67:O130" si="9">IF(F67="","",IF(F67&lt;=$P$2,"Small",IF(F67&lt;=$Q$2,"Mid","Large")))</f>
        <v>Small</v>
      </c>
    </row>
    <row r="68" spans="1:15" x14ac:dyDescent="0.25">
      <c r="A68">
        <v>67</v>
      </c>
      <c r="B68">
        <v>6021</v>
      </c>
      <c r="C68" t="str">
        <v>NATIONAL BANKSHARES INC</v>
      </c>
      <c r="D68">
        <v>796534</v>
      </c>
      <c r="E68" t="str">
        <v>0001193125-26-128311</v>
      </c>
      <c r="F68">
        <f>IFERROR(GETPIVOTDATA("value", financials_wide!$A$3, "adsh", $E68, "tag", "Assets"),"")</f>
        <v>1824506000</v>
      </c>
      <c r="G68">
        <f>IFERROR(GETPIVOTDATA("value", financials_wide!$A$3, "adsh", $E68, "tag", "EarningsPerShareBasic"),"")</f>
        <v>2.4900000000000002</v>
      </c>
      <c r="H68">
        <f>IFERROR(IFERROR(GETPIVOTDATA("value", financials_wide!$A$3, "adsh", $E68, "tag", "InterestAndDividendIncomeOperating"), GETPIVOTDATA("value", financials_wide!$A$3, "adsh", $E68, "tag", "InterestIncomeOperating")),"")</f>
        <v>75313000</v>
      </c>
      <c r="I68">
        <f>IFERROR(GETPIVOTDATA("value", financials_wide!$A$3, "adsh", $E68, "tag", "Liabilities"),"")</f>
        <v>1639598000</v>
      </c>
      <c r="J68">
        <f t="shared" si="6"/>
        <v>184908000</v>
      </c>
      <c r="K68">
        <f>IFERROR(GETPIVOTDATA("value", financials_wide!$A$3, "adsh", $E68, "tag", "NetIncomeLoss"),"")</f>
        <v>15826000</v>
      </c>
      <c r="L68">
        <f>IFERROR(GETPIVOTDATA("value", financials_wide!$A$3, "adsh", $E68, "tag", "StockholdersEquity"),"")</f>
        <v>184908000</v>
      </c>
      <c r="M68">
        <f t="shared" si="7"/>
        <v>9.8671014774915093</v>
      </c>
      <c r="N68" s="3">
        <f t="shared" si="8"/>
        <v>8.674128777871928E-3</v>
      </c>
      <c r="O68" t="str">
        <f t="shared" si="9"/>
        <v>Small</v>
      </c>
    </row>
    <row r="69" spans="1:15" x14ac:dyDescent="0.25">
      <c r="A69">
        <v>68</v>
      </c>
      <c r="B69">
        <v>6021</v>
      </c>
      <c r="C69" t="str">
        <v>VIRGINIA NATIONAL BANKSHARES CORP</v>
      </c>
      <c r="D69">
        <v>1572334</v>
      </c>
      <c r="E69" t="str">
        <v>0001193125-26-128416</v>
      </c>
      <c r="F69">
        <f>IFERROR(GETPIVOTDATA("value", financials_wide!$A$3, "adsh", $E69, "tag", "Assets"),"")</f>
        <v>1649742000</v>
      </c>
      <c r="G69">
        <f>IFERROR(GETPIVOTDATA("value", financials_wide!$A$3, "adsh", $E69, "tag", "EarningsPerShareBasic"),"")</f>
        <v>3.57</v>
      </c>
      <c r="H69">
        <f>IFERROR(IFERROR(GETPIVOTDATA("value", financials_wide!$A$3, "adsh", $E69, "tag", "InterestAndDividendIncomeOperating"), GETPIVOTDATA("value", financials_wide!$A$3, "adsh", $E69, "tag", "InterestIncomeOperating")),"")</f>
        <v>77246000</v>
      </c>
      <c r="I69">
        <f>IFERROR(GETPIVOTDATA("value", financials_wide!$A$3, "adsh", $E69, "tag", "Liabilities"),"")</f>
        <v>1465581000</v>
      </c>
      <c r="J69">
        <f t="shared" si="6"/>
        <v>184161000</v>
      </c>
      <c r="K69">
        <f>IFERROR(GETPIVOTDATA("value", financials_wide!$A$3, "adsh", $E69, "tag", "NetIncomeLoss"),"")</f>
        <v>19261000</v>
      </c>
      <c r="L69">
        <f>IFERROR(GETPIVOTDATA("value", financials_wide!$A$3, "adsh", $E69, "tag", "StockholdersEquity"),"")</f>
        <v>184161000</v>
      </c>
      <c r="M69">
        <f t="shared" si="7"/>
        <v>8.9581507485298193</v>
      </c>
      <c r="N69" s="3">
        <f t="shared" si="8"/>
        <v>1.1675158903634629E-2</v>
      </c>
      <c r="O69" t="str">
        <f t="shared" si="9"/>
        <v>Small</v>
      </c>
    </row>
    <row r="70" spans="1:15" x14ac:dyDescent="0.25">
      <c r="A70">
        <v>69</v>
      </c>
      <c r="B70">
        <v>6022</v>
      </c>
      <c r="C70" t="str">
        <v>GBANK FINANCIAL HOLDINGS INC.</v>
      </c>
      <c r="D70">
        <v>1791145</v>
      </c>
      <c r="E70" t="str">
        <v>0001193125-26-129567</v>
      </c>
      <c r="F70">
        <f>IFERROR(GETPIVOTDATA("value", financials_wide!$A$3, "adsh", $E70, "tag", "Assets"),"")</f>
        <v>1359491000</v>
      </c>
      <c r="G70">
        <f>IFERROR(GETPIVOTDATA("value", financials_wide!$A$3, "adsh", $E70, "tag", "EarningsPerShareBasic"),"")</f>
        <v>1.46</v>
      </c>
      <c r="H70">
        <f>IFERROR(IFERROR(GETPIVOTDATA("value", financials_wide!$A$3, "adsh", $E70, "tag", "InterestAndDividendIncomeOperating"), GETPIVOTDATA("value", financials_wide!$A$3, "adsh", $E70, "tag", "InterestIncomeOperating")),"")</f>
        <v>84326000</v>
      </c>
      <c r="I70">
        <f>IFERROR(GETPIVOTDATA("value", financials_wide!$A$3, "adsh", $E70, "tag", "Liabilities"),"")</f>
        <v>1193736000</v>
      </c>
      <c r="J70">
        <f t="shared" si="6"/>
        <v>165755000</v>
      </c>
      <c r="K70">
        <f>IFERROR(GETPIVOTDATA("value", financials_wide!$A$3, "adsh", $E70, "tag", "NetIncomeLoss"),"")</f>
        <v>20929000</v>
      </c>
      <c r="L70">
        <f>IFERROR(GETPIVOTDATA("value", financials_wide!$A$3, "adsh", $E70, "tag", "StockholdersEquity"),"")</f>
        <v>165755000</v>
      </c>
      <c r="M70">
        <f t="shared" si="7"/>
        <v>8.201809900153842</v>
      </c>
      <c r="N70" s="3">
        <f t="shared" si="8"/>
        <v>1.5394732293189143E-2</v>
      </c>
      <c r="O70" t="str">
        <f t="shared" si="9"/>
        <v>Small</v>
      </c>
    </row>
    <row r="71" spans="1:15" x14ac:dyDescent="0.25">
      <c r="A71">
        <v>70</v>
      </c>
      <c r="B71">
        <v>6022</v>
      </c>
      <c r="C71" t="str">
        <v>PATHFINDER BANCORP, INC.</v>
      </c>
      <c r="D71">
        <v>1609065</v>
      </c>
      <c r="E71" t="str">
        <v>0001193125-26-132075</v>
      </c>
      <c r="F71">
        <f>IFERROR(GETPIVOTDATA("value", financials_wide!$A$3, "adsh", $E71, "tag", "Assets"),"")</f>
        <v>1426636000</v>
      </c>
      <c r="G71">
        <f>IFERROR(GETPIVOTDATA("value", financials_wide!$A$3, "adsh", $E71, "tag", "EarningsPerShareBasic"),"")</f>
        <v>0</v>
      </c>
      <c r="H71">
        <f>IFERROR(IFERROR(GETPIVOTDATA("value", financials_wide!$A$3, "adsh", $E71, "tag", "InterestAndDividendIncomeOperating"), GETPIVOTDATA("value", financials_wide!$A$3, "adsh", $E71, "tag", "InterestIncomeOperating")),"")</f>
        <v>76653000</v>
      </c>
      <c r="I71">
        <f>IFERROR(GETPIVOTDATA("value", financials_wide!$A$3, "adsh", $E71, "tag", "Liabilities"),"")</f>
        <v>1304185000</v>
      </c>
      <c r="J71">
        <f t="shared" si="6"/>
        <v>122451000</v>
      </c>
      <c r="K71">
        <f>IFERROR(GETPIVOTDATA("value", financials_wide!$A$3, "adsh", $E71, "tag", "NetIncomeLoss"),"")</f>
        <v>-1933000</v>
      </c>
      <c r="L71">
        <f>IFERROR(GETPIVOTDATA("value", financials_wide!$A$3, "adsh", $E71, "tag", "StockholdersEquity"),"")</f>
        <v>122451000</v>
      </c>
      <c r="M71">
        <f t="shared" si="7"/>
        <v>11.650668430637561</v>
      </c>
      <c r="N71" s="3">
        <f t="shared" si="8"/>
        <v>-1.3549356668414367E-3</v>
      </c>
      <c r="O71" t="str">
        <f t="shared" si="9"/>
        <v>Small</v>
      </c>
    </row>
    <row r="72" spans="1:15" x14ac:dyDescent="0.25">
      <c r="A72">
        <v>71</v>
      </c>
      <c r="B72">
        <v>6022</v>
      </c>
      <c r="C72" t="str">
        <v>SB FINANCIAL GROUP, INC.</v>
      </c>
      <c r="D72">
        <v>767405</v>
      </c>
      <c r="E72" t="str">
        <v>0001213900-26-024471</v>
      </c>
      <c r="F72">
        <f>IFERROR(GETPIVOTDATA("value", financials_wide!$A$3, "adsh", $E72, "tag", "Assets"),"")</f>
        <v>1545367000</v>
      </c>
      <c r="G72">
        <f>IFERROR(GETPIVOTDATA("value", financials_wide!$A$3, "adsh", $E72, "tag", "EarningsPerShareBasic"),"")</f>
        <v>2.19</v>
      </c>
      <c r="H72">
        <f>IFERROR(IFERROR(GETPIVOTDATA("value", financials_wide!$A$3, "adsh", $E72, "tag", "InterestAndDividendIncomeOperating"), GETPIVOTDATA("value", financials_wide!$A$3, "adsh", $E72, "tag", "InterestIncomeOperating")),"")</f>
        <v>0</v>
      </c>
      <c r="I72">
        <f>IFERROR(GETPIVOTDATA("value", financials_wide!$A$3, "adsh", $E72, "tag", "Liabilities"),"")</f>
        <v>1404131000</v>
      </c>
      <c r="J72">
        <f t="shared" si="6"/>
        <v>141236000</v>
      </c>
      <c r="K72">
        <f>IFERROR(GETPIVOTDATA("value", financials_wide!$A$3, "adsh", $E72, "tag", "NetIncomeLoss"),"")</f>
        <v>13974000</v>
      </c>
      <c r="L72">
        <f>IFERROR(GETPIVOTDATA("value", financials_wide!$A$3, "adsh", $E72, "tag", "StockholdersEquity"),"")</f>
        <v>141236000</v>
      </c>
      <c r="M72">
        <f t="shared" si="7"/>
        <v>10.941735818063384</v>
      </c>
      <c r="N72" s="3">
        <f t="shared" si="8"/>
        <v>9.0425122317223036E-3</v>
      </c>
      <c r="O72" t="str">
        <f t="shared" si="9"/>
        <v>Small</v>
      </c>
    </row>
    <row r="73" spans="1:15" x14ac:dyDescent="0.25">
      <c r="A73">
        <v>72</v>
      </c>
      <c r="B73">
        <v>6022</v>
      </c>
      <c r="C73" t="str">
        <v>COMMERCIAL BANCGROUP, INC.</v>
      </c>
      <c r="D73">
        <v>1981546</v>
      </c>
      <c r="E73" t="str">
        <v>0001213900-26-033659</v>
      </c>
      <c r="F73">
        <f>IFERROR(GETPIVOTDATA("value", financials_wide!$A$3, "adsh", $E73, "tag", "Assets"),"")</f>
        <v>2291454981</v>
      </c>
      <c r="G73">
        <f>IFERROR(GETPIVOTDATA("value", financials_wide!$A$3, "adsh", $E73, "tag", "EarningsPerShareBasic"),"")</f>
        <v>2.95</v>
      </c>
      <c r="H73">
        <f>IFERROR(IFERROR(GETPIVOTDATA("value", financials_wide!$A$3, "adsh", $E73, "tag", "InterestAndDividendIncomeOperating"), GETPIVOTDATA("value", financials_wide!$A$3, "adsh", $E73, "tag", "InterestIncomeOperating")),"")</f>
        <v>121604088</v>
      </c>
      <c r="I73">
        <f>IFERROR(GETPIVOTDATA("value", financials_wide!$A$3, "adsh", $E73, "tag", "Liabilities"),"")</f>
        <v>2006111149</v>
      </c>
      <c r="J73">
        <f t="shared" si="6"/>
        <v>285343832</v>
      </c>
      <c r="K73">
        <f>IFERROR(GETPIVOTDATA("value", financials_wide!$A$3, "adsh", $E73, "tag", "NetIncomeLoss"),"")</f>
        <v>37196198</v>
      </c>
      <c r="L73">
        <f>IFERROR(GETPIVOTDATA("value", financials_wide!$A$3, "adsh", $E73, "tag", "StockholdersEquity"),"")</f>
        <v>285343832</v>
      </c>
      <c r="M73">
        <f t="shared" si="7"/>
        <v>8.0305046895143679</v>
      </c>
      <c r="N73" s="3">
        <f t="shared" si="8"/>
        <v>1.6232567651740394E-2</v>
      </c>
      <c r="O73" t="str">
        <f t="shared" si="9"/>
        <v>Small</v>
      </c>
    </row>
    <row r="74" spans="1:15" x14ac:dyDescent="0.25">
      <c r="A74">
        <v>73</v>
      </c>
      <c r="B74">
        <v>6022</v>
      </c>
      <c r="C74" t="str">
        <v>BANK OF THE JAMES FINANCIAL GROUP INC</v>
      </c>
      <c r="D74">
        <v>1275101</v>
      </c>
      <c r="E74" t="str">
        <v>0001275101-26-000010</v>
      </c>
      <c r="F74">
        <f>IFERROR(GETPIVOTDATA("value", financials_wide!$A$3, "adsh", $E74, "tag", "Assets"),"")</f>
        <v>1039024000</v>
      </c>
      <c r="G74">
        <f>IFERROR(GETPIVOTDATA("value", financials_wide!$A$3, "adsh", $E74, "tag", "EarningsPerShareBasic"),"")</f>
        <v>1.99</v>
      </c>
      <c r="H74">
        <f>IFERROR(IFERROR(GETPIVOTDATA("value", financials_wide!$A$3, "adsh", $E74, "tag", "InterestAndDividendIncomeOperating"), GETPIVOTDATA("value", financials_wide!$A$3, "adsh", $E74, "tag", "InterestIncomeOperating")),"")</f>
        <v>46655000</v>
      </c>
      <c r="I74">
        <f>IFERROR(GETPIVOTDATA("value", financials_wide!$A$3, "adsh", $E74, "tag", "Liabilities"),"")</f>
        <v>958976000</v>
      </c>
      <c r="J74">
        <f t="shared" si="6"/>
        <v>80048000</v>
      </c>
      <c r="K74">
        <f>IFERROR(GETPIVOTDATA("value", financials_wide!$A$3, "adsh", $E74, "tag", "NetIncomeLoss"),"")</f>
        <v>9022000</v>
      </c>
      <c r="L74">
        <f>IFERROR(GETPIVOTDATA("value", financials_wide!$A$3, "adsh", $E74, "tag", "StockholdersEquity"),"")</f>
        <v>80048000</v>
      </c>
      <c r="M74">
        <f t="shared" si="7"/>
        <v>12.980011992804318</v>
      </c>
      <c r="N74" s="3">
        <f t="shared" si="8"/>
        <v>8.6831488011826479E-3</v>
      </c>
      <c r="O74" t="str">
        <f t="shared" si="9"/>
        <v>Small</v>
      </c>
    </row>
    <row r="75" spans="1:15" x14ac:dyDescent="0.25">
      <c r="A75">
        <v>74</v>
      </c>
      <c r="B75">
        <v>6022</v>
      </c>
      <c r="C75" t="str">
        <v>MVB FINANCIAL CORP</v>
      </c>
      <c r="D75">
        <v>1277902</v>
      </c>
      <c r="E75" t="str">
        <v>0001277902-26-000030</v>
      </c>
      <c r="F75">
        <f>IFERROR(GETPIVOTDATA("value", financials_wide!$A$3, "adsh", $E75, "tag", "Assets"),"")</f>
        <v>3308918000</v>
      </c>
      <c r="G75">
        <f>IFERROR(GETPIVOTDATA("value", financials_wide!$A$3, "adsh", $E75, "tag", "EarningsPerShareBasic"),"")</f>
        <v>2.11</v>
      </c>
      <c r="H75">
        <f>IFERROR(IFERROR(GETPIVOTDATA("value", financials_wide!$A$3, "adsh", $E75, "tag", "InterestAndDividendIncomeOperating"), GETPIVOTDATA("value", financials_wide!$A$3, "adsh", $E75, "tag", "InterestIncomeOperating")),"")</f>
        <v>175323000</v>
      </c>
      <c r="I75">
        <f>IFERROR(GETPIVOTDATA("value", financials_wide!$A$3, "adsh", $E75, "tag", "Liabilities"),"")</f>
        <v>2974950000</v>
      </c>
      <c r="J75">
        <f t="shared" si="6"/>
        <v>333968000</v>
      </c>
      <c r="K75">
        <f>IFERROR(GETPIVOTDATA("value", financials_wide!$A$3, "adsh", $E75, "tag", "NetIncomeLoss"),"")</f>
        <v>0</v>
      </c>
      <c r="L75">
        <f>IFERROR(GETPIVOTDATA("value", financials_wide!$A$3, "adsh", $E75, "tag", "StockholdersEquity"),"")</f>
        <v>333968000</v>
      </c>
      <c r="M75">
        <f t="shared" si="7"/>
        <v>9.9078893786231017</v>
      </c>
      <c r="N75" s="3">
        <f t="shared" si="8"/>
        <v>0</v>
      </c>
      <c r="O75" t="str">
        <f t="shared" si="9"/>
        <v>Mid</v>
      </c>
    </row>
    <row r="76" spans="1:15" x14ac:dyDescent="0.25">
      <c r="A76">
        <v>75</v>
      </c>
      <c r="B76">
        <v>6022</v>
      </c>
      <c r="C76" t="str">
        <v>NORTHPOINTE BANCSHARES INC</v>
      </c>
      <c r="D76">
        <v>1336706</v>
      </c>
      <c r="E76" t="str">
        <v>0001336706-26-000020</v>
      </c>
      <c r="F76">
        <f>IFERROR(GETPIVOTDATA("value", financials_wide!$A$3, "adsh", $E76, "tag", "Assets"),"")</f>
        <v>7022825000</v>
      </c>
      <c r="G76">
        <f>IFERROR(GETPIVOTDATA("value", financials_wide!$A$3, "adsh", $E76, "tag", "EarningsPerShareBasic"),"")</f>
        <v>2.14</v>
      </c>
      <c r="H76">
        <f>IFERROR(IFERROR(GETPIVOTDATA("value", financials_wide!$A$3, "adsh", $E76, "tag", "InterestAndDividendIncomeOperating"), GETPIVOTDATA("value", financials_wide!$A$3, "adsh", $E76, "tag", "InterestIncomeOperating")),"")</f>
        <v>0</v>
      </c>
      <c r="I76">
        <f>IFERROR(GETPIVOTDATA("value", financials_wide!$A$3, "adsh", $E76, "tag", "Liabilities"),"")</f>
        <v>6453783000</v>
      </c>
      <c r="J76">
        <f t="shared" si="6"/>
        <v>569042000</v>
      </c>
      <c r="K76">
        <f>IFERROR(GETPIVOTDATA("value", financials_wide!$A$3, "adsh", $E76, "tag", "NetIncomeLoss"),"")</f>
        <v>83409000</v>
      </c>
      <c r="L76">
        <f>IFERROR(GETPIVOTDATA("value", financials_wide!$A$3, "adsh", $E76, "tag", "StockholdersEquity"),"")</f>
        <v>569042000</v>
      </c>
      <c r="M76">
        <f t="shared" si="7"/>
        <v>12.341487974525606</v>
      </c>
      <c r="N76" s="3">
        <f t="shared" si="8"/>
        <v>1.1876844432261946E-2</v>
      </c>
      <c r="O76" t="str">
        <f t="shared" si="9"/>
        <v>Mid</v>
      </c>
    </row>
    <row r="77" spans="1:15" x14ac:dyDescent="0.25">
      <c r="A77">
        <v>76</v>
      </c>
      <c r="B77">
        <v>6022</v>
      </c>
      <c r="C77" t="str">
        <v>BANK OF MARIN BANCORP</v>
      </c>
      <c r="D77">
        <v>1403475</v>
      </c>
      <c r="E77" t="str">
        <v>0001403475-26-000018</v>
      </c>
      <c r="F77">
        <f>IFERROR(GETPIVOTDATA("value", financials_wide!$A$3, "adsh", $E77, "tag", "Assets"),"")</f>
        <v>3904778000</v>
      </c>
      <c r="G77">
        <f>IFERROR(GETPIVOTDATA("value", financials_wide!$A$3, "adsh", $E77, "tag", "EarningsPerShareBasic"),"")</f>
        <v>-2.2400000000000002</v>
      </c>
      <c r="H77">
        <f>IFERROR(IFERROR(GETPIVOTDATA("value", financials_wide!$A$3, "adsh", $E77, "tag", "InterestAndDividendIncomeOperating"), GETPIVOTDATA("value", financials_wide!$A$3, "adsh", $E77, "tag", "InterestIncomeOperating")),"")</f>
        <v>152428000</v>
      </c>
      <c r="I77">
        <f>IFERROR(GETPIVOTDATA("value", financials_wide!$A$3, "adsh", $E77, "tag", "Liabilities"),"")</f>
        <v>3510124000</v>
      </c>
      <c r="J77">
        <f t="shared" si="6"/>
        <v>394654000</v>
      </c>
      <c r="K77">
        <f>IFERROR(GETPIVOTDATA("value", financials_wide!$A$3, "adsh", $E77, "tag", "NetIncomeLoss"),"")</f>
        <v>-35675000</v>
      </c>
      <c r="L77">
        <f>IFERROR(GETPIVOTDATA("value", financials_wide!$A$3, "adsh", $E77, "tag", "StockholdersEquity"),"")</f>
        <v>394654000</v>
      </c>
      <c r="M77">
        <f t="shared" si="7"/>
        <v>9.8941807253949037</v>
      </c>
      <c r="N77" s="3">
        <f t="shared" si="8"/>
        <v>-9.1362428286576088E-3</v>
      </c>
      <c r="O77" t="str">
        <f t="shared" si="9"/>
        <v>Mid</v>
      </c>
    </row>
    <row r="78" spans="1:15" x14ac:dyDescent="0.25">
      <c r="A78">
        <v>77</v>
      </c>
      <c r="B78">
        <v>6021</v>
      </c>
      <c r="C78" t="str">
        <v>CAPITAL BANCORP INC</v>
      </c>
      <c r="D78">
        <v>1419536</v>
      </c>
      <c r="E78" t="str">
        <v>0001419536-26-000073</v>
      </c>
      <c r="F78">
        <f>IFERROR(GETPIVOTDATA("value", financials_wide!$A$3, "adsh", $E78, "tag", "Assets"),"")</f>
        <v>3606207000</v>
      </c>
      <c r="G78">
        <f>IFERROR(GETPIVOTDATA("value", financials_wide!$A$3, "adsh", $E78, "tag", "EarningsPerShareBasic"),"")</f>
        <v>3.45</v>
      </c>
      <c r="H78">
        <f>IFERROR(IFERROR(GETPIVOTDATA("value", financials_wide!$A$3, "adsh", $E78, "tag", "InterestAndDividendIncomeOperating"), GETPIVOTDATA("value", financials_wide!$A$3, "adsh", $E78, "tag", "InterestIncomeOperating")),"")</f>
        <v>260871000</v>
      </c>
      <c r="I78">
        <f>IFERROR(GETPIVOTDATA("value", financials_wide!$A$3, "adsh", $E78, "tag", "Liabilities"),"")</f>
        <v>3204450000</v>
      </c>
      <c r="J78">
        <f t="shared" si="6"/>
        <v>401757000</v>
      </c>
      <c r="K78">
        <f>IFERROR(GETPIVOTDATA("value", financials_wide!$A$3, "adsh", $E78, "tag", "NetIncomeLoss"),"")</f>
        <v>57170000</v>
      </c>
      <c r="L78">
        <f>IFERROR(GETPIVOTDATA("value", financials_wide!$A$3, "adsh", $E78, "tag", "StockholdersEquity"),"")</f>
        <v>401757000</v>
      </c>
      <c r="M78">
        <f t="shared" si="7"/>
        <v>8.9760900245670889</v>
      </c>
      <c r="N78" s="3">
        <f t="shared" si="8"/>
        <v>1.5853221958695107E-2</v>
      </c>
      <c r="O78" t="str">
        <f t="shared" si="9"/>
        <v>Mid</v>
      </c>
    </row>
    <row r="79" spans="1:15" x14ac:dyDescent="0.25">
      <c r="A79">
        <v>78</v>
      </c>
      <c r="B79">
        <v>6022</v>
      </c>
      <c r="C79" t="str">
        <v>PCB BANCORP</v>
      </c>
      <c r="D79">
        <v>1423869</v>
      </c>
      <c r="E79" t="str">
        <v>0001423869-26-000006</v>
      </c>
      <c r="F79">
        <f>IFERROR(GETPIVOTDATA("value", financials_wide!$A$3, "adsh", $E79, "tag", "Assets"),"")</f>
        <v>3281771000</v>
      </c>
      <c r="G79">
        <f>IFERROR(GETPIVOTDATA("value", financials_wide!$A$3, "adsh", $E79, "tag", "EarningsPerShareBasic"),"")</f>
        <v>2.59</v>
      </c>
      <c r="H79">
        <f>IFERROR(IFERROR(GETPIVOTDATA("value", financials_wide!$A$3, "adsh", $E79, "tag", "InterestAndDividendIncomeOperating"), GETPIVOTDATA("value", financials_wide!$A$3, "adsh", $E79, "tag", "InterestIncomeOperating")),"")</f>
        <v>197536000</v>
      </c>
      <c r="I79">
        <f>IFERROR(GETPIVOTDATA("value", financials_wide!$A$3, "adsh", $E79, "tag", "Liabilities"),"")</f>
        <v>2891745000</v>
      </c>
      <c r="J79">
        <f t="shared" si="6"/>
        <v>390026000</v>
      </c>
      <c r="K79">
        <f>IFERROR(GETPIVOTDATA("value", financials_wide!$A$3, "adsh", $E79, "tag", "NetIncomeLoss"),"")</f>
        <v>37453000</v>
      </c>
      <c r="L79">
        <f>IFERROR(GETPIVOTDATA("value", financials_wide!$A$3, "adsh", $E79, "tag", "StockholdersEquity"),"")</f>
        <v>390026000</v>
      </c>
      <c r="M79">
        <f t="shared" si="7"/>
        <v>8.4142364867983162</v>
      </c>
      <c r="N79" s="3">
        <f t="shared" si="8"/>
        <v>1.1412435541663327E-2</v>
      </c>
      <c r="O79" t="str">
        <f t="shared" si="9"/>
        <v>Mid</v>
      </c>
    </row>
    <row r="80" spans="1:15" x14ac:dyDescent="0.25">
      <c r="A80">
        <v>79</v>
      </c>
      <c r="B80">
        <v>6022</v>
      </c>
      <c r="C80" t="str">
        <v>CATHAY GENERAL BANCORP</v>
      </c>
      <c r="D80">
        <v>861842</v>
      </c>
      <c r="E80" t="str">
        <v>0001437749-26-006157</v>
      </c>
      <c r="F80">
        <f>IFERROR(GETPIVOTDATA("value", financials_wide!$A$3, "adsh", $E80, "tag", "Assets"),"")</f>
        <v>24229575000</v>
      </c>
      <c r="G80">
        <f>IFERROR(GETPIVOTDATA("value", financials_wide!$A$3, "adsh", $E80, "tag", "EarningsPerShareBasic"),"")</f>
        <v>4.55</v>
      </c>
      <c r="H80">
        <f>IFERROR(IFERROR(GETPIVOTDATA("value", financials_wide!$A$3, "adsh", $E80, "tag", "InterestAndDividendIncomeOperating"), GETPIVOTDATA("value", financials_wide!$A$3, "adsh", $E80, "tag", "InterestIncomeOperating")),"")</f>
        <v>1309260000</v>
      </c>
      <c r="I80">
        <f>IFERROR(GETPIVOTDATA("value", financials_wide!$A$3, "adsh", $E80, "tag", "Liabilities"),"")</f>
        <v>21304187000</v>
      </c>
      <c r="J80">
        <f t="shared" si="6"/>
        <v>2925388000</v>
      </c>
      <c r="K80">
        <f>IFERROR(GETPIVOTDATA("value", financials_wide!$A$3, "adsh", $E80, "tag", "NetIncomeLoss"),"")</f>
        <v>315124000</v>
      </c>
      <c r="L80">
        <f>IFERROR(GETPIVOTDATA("value", financials_wide!$A$3, "adsh", $E80, "tag", "StockholdersEquity"),"")</f>
        <v>2925388000</v>
      </c>
      <c r="M80">
        <f t="shared" si="7"/>
        <v>8.2825167123130328</v>
      </c>
      <c r="N80" s="3">
        <f t="shared" si="8"/>
        <v>1.3005758458412911E-2</v>
      </c>
      <c r="O80" t="str">
        <f t="shared" si="9"/>
        <v>Large</v>
      </c>
    </row>
    <row r="81" spans="1:15" x14ac:dyDescent="0.25">
      <c r="A81">
        <v>80</v>
      </c>
      <c r="B81">
        <v>6021</v>
      </c>
      <c r="C81" t="str">
        <v>ALERUS FINANCIAL CORP</v>
      </c>
      <c r="D81">
        <v>903419</v>
      </c>
      <c r="E81" t="str">
        <v>0001437749-26-006820</v>
      </c>
      <c r="F81">
        <f>IFERROR(GETPIVOTDATA("value", financials_wide!$A$3, "adsh", $E81, "tag", "Assets"),"")</f>
        <v>5230084000</v>
      </c>
      <c r="G81">
        <f>IFERROR(GETPIVOTDATA("value", financials_wide!$A$3, "adsh", $E81, "tag", "EarningsPerShareBasic"),"")</f>
        <v>0.69</v>
      </c>
      <c r="H81">
        <f>IFERROR(IFERROR(GETPIVOTDATA("value", financials_wide!$A$3, "adsh", $E81, "tag", "InterestAndDividendIncomeOperating"), GETPIVOTDATA("value", financials_wide!$A$3, "adsh", $E81, "tag", "InterestIncomeOperating")),"")</f>
        <v>279636000</v>
      </c>
      <c r="I81">
        <f>IFERROR(GETPIVOTDATA("value", financials_wide!$A$3, "adsh", $E81, "tag", "Liabilities"),"")</f>
        <v>4665150000</v>
      </c>
      <c r="J81">
        <f t="shared" si="6"/>
        <v>564934000</v>
      </c>
      <c r="K81">
        <f>IFERROR(GETPIVOTDATA("value", financials_wide!$A$3, "adsh", $E81, "tag", "NetIncomeLoss"),"")</f>
        <v>17439000</v>
      </c>
      <c r="L81">
        <f>IFERROR(GETPIVOTDATA("value", financials_wide!$A$3, "adsh", $E81, "tag", "StockholdersEquity"),"")</f>
        <v>564934000</v>
      </c>
      <c r="M81">
        <f t="shared" si="7"/>
        <v>9.2578672906923636</v>
      </c>
      <c r="N81" s="3">
        <f t="shared" si="8"/>
        <v>3.3343632721768903E-3</v>
      </c>
      <c r="O81" t="str">
        <f t="shared" si="9"/>
        <v>Mid</v>
      </c>
    </row>
    <row r="82" spans="1:15" x14ac:dyDescent="0.25">
      <c r="A82">
        <v>81</v>
      </c>
      <c r="B82">
        <v>6022</v>
      </c>
      <c r="C82" t="str">
        <v>FARMERS NATIONAL BANC CORP /OH/</v>
      </c>
      <c r="D82">
        <v>709337</v>
      </c>
      <c r="E82" t="str">
        <v>0001437749-26-007084</v>
      </c>
      <c r="F82">
        <f>IFERROR(GETPIVOTDATA("value", financials_wide!$A$3, "adsh", $E82, "tag", "Assets"),"")</f>
        <v>5245870000</v>
      </c>
      <c r="G82">
        <f>IFERROR(GETPIVOTDATA("value", financials_wide!$A$3, "adsh", $E82, "tag", "EarningsPerShareBasic"),"")</f>
        <v>1.46</v>
      </c>
      <c r="H82">
        <f>IFERROR(IFERROR(GETPIVOTDATA("value", financials_wide!$A$3, "adsh", $E82, "tag", "InterestAndDividendIncomeOperating"), GETPIVOTDATA("value", financials_wide!$A$3, "adsh", $E82, "tag", "InterestIncomeOperating")),"")</f>
        <v>233792000</v>
      </c>
      <c r="I82">
        <f>IFERROR(GETPIVOTDATA("value", financials_wide!$A$3, "adsh", $E82, "tag", "Liabilities"),"")</f>
        <v>4760145000</v>
      </c>
      <c r="J82">
        <f t="shared" si="6"/>
        <v>485725000</v>
      </c>
      <c r="K82">
        <f>IFERROR(GETPIVOTDATA("value", financials_wide!$A$3, "adsh", $E82, "tag", "NetIncomeLoss"),"")</f>
        <v>54586000</v>
      </c>
      <c r="L82">
        <f>IFERROR(GETPIVOTDATA("value", financials_wide!$A$3, "adsh", $E82, "tag", "StockholdersEquity"),"")</f>
        <v>485725000</v>
      </c>
      <c r="M82">
        <f t="shared" si="7"/>
        <v>10.800082351124608</v>
      </c>
      <c r="N82" s="3">
        <f t="shared" si="8"/>
        <v>1.0405519008286519E-2</v>
      </c>
      <c r="O82" t="str">
        <f t="shared" si="9"/>
        <v>Mid</v>
      </c>
    </row>
    <row r="83" spans="1:15" x14ac:dyDescent="0.25">
      <c r="A83">
        <v>82</v>
      </c>
      <c r="B83">
        <v>6022</v>
      </c>
      <c r="C83" t="str">
        <v>FIRST COMMUNITY BANKSHARES INC /VA/</v>
      </c>
      <c r="D83">
        <v>859070</v>
      </c>
      <c r="E83" t="str">
        <v>0001437749-26-007180</v>
      </c>
      <c r="F83">
        <f>IFERROR(GETPIVOTDATA("value", financials_wide!$A$3, "adsh", $E83, "tag", "Assets"),"")</f>
        <v>3259643000</v>
      </c>
      <c r="G83">
        <f>IFERROR(GETPIVOTDATA("value", financials_wide!$A$3, "adsh", $E83, "tag", "EarningsPerShareBasic"),"")</f>
        <v>2.66</v>
      </c>
      <c r="H83">
        <f>IFERROR(IFERROR(GETPIVOTDATA("value", financials_wide!$A$3, "adsh", $E83, "tag", "InterestAndDividendIncomeOperating"), GETPIVOTDATA("value", financials_wide!$A$3, "adsh", $E83, "tag", "InterestIncomeOperating")),"")</f>
        <v>142535000</v>
      </c>
      <c r="I83">
        <f>IFERROR(GETPIVOTDATA("value", financials_wide!$A$3, "adsh", $E83, "tag", "Liabilities"),"")</f>
        <v>2759096000</v>
      </c>
      <c r="J83">
        <f t="shared" si="6"/>
        <v>500547000</v>
      </c>
      <c r="K83">
        <f>IFERROR(GETPIVOTDATA("value", financials_wide!$A$3, "adsh", $E83, "tag", "NetIncomeLoss"),"")</f>
        <v>48794000</v>
      </c>
      <c r="L83">
        <f>IFERROR(GETPIVOTDATA("value", financials_wide!$A$3, "adsh", $E83, "tag", "StockholdersEquity"),"")</f>
        <v>500547000</v>
      </c>
      <c r="M83">
        <f t="shared" si="7"/>
        <v>6.5121616951055543</v>
      </c>
      <c r="N83" s="3">
        <f t="shared" si="8"/>
        <v>1.4969123919398536E-2</v>
      </c>
      <c r="O83" t="str">
        <f t="shared" si="9"/>
        <v>Mid</v>
      </c>
    </row>
    <row r="84" spans="1:15" x14ac:dyDescent="0.25">
      <c r="A84">
        <v>83</v>
      </c>
      <c r="B84">
        <v>6022</v>
      </c>
      <c r="C84" t="str">
        <v>EAGLE BANCORP MONTANA, INC.</v>
      </c>
      <c r="D84">
        <v>1478454</v>
      </c>
      <c r="E84" t="str">
        <v>0001437749-26-007330</v>
      </c>
      <c r="F84">
        <f>IFERROR(GETPIVOTDATA("value", financials_wide!$A$3, "adsh", $E84, "tag", "Assets"),"")</f>
        <v>2106367000</v>
      </c>
      <c r="G84">
        <f>IFERROR(GETPIVOTDATA("value", financials_wide!$A$3, "adsh", $E84, "tag", "EarningsPerShareBasic"),"")</f>
        <v>1.9</v>
      </c>
      <c r="H84">
        <f>IFERROR(IFERROR(GETPIVOTDATA("value", financials_wide!$A$3, "adsh", $E84, "tag", "InterestAndDividendIncomeOperating"), GETPIVOTDATA("value", financials_wide!$A$3, "adsh", $E84, "tag", "InterestIncomeOperating")),"")</f>
        <v>108411000</v>
      </c>
      <c r="I84">
        <f>IFERROR(GETPIVOTDATA("value", financials_wide!$A$3, "adsh", $E84, "tag", "Liabilities"),"")</f>
        <v>1914553000</v>
      </c>
      <c r="J84">
        <f t="shared" si="6"/>
        <v>191814000</v>
      </c>
      <c r="K84">
        <f>IFERROR(GETPIVOTDATA("value", financials_wide!$A$3, "adsh", $E84, "tag", "NetIncomeLoss"),"")</f>
        <v>14835000</v>
      </c>
      <c r="L84">
        <f>IFERROR(GETPIVOTDATA("value", financials_wide!$A$3, "adsh", $E84, "tag", "StockholdersEquity"),"")</f>
        <v>191814000</v>
      </c>
      <c r="M84">
        <f t="shared" si="7"/>
        <v>10.981299592313388</v>
      </c>
      <c r="N84" s="3">
        <f t="shared" si="8"/>
        <v>7.0429322145665971E-3</v>
      </c>
      <c r="O84" t="str">
        <f t="shared" si="9"/>
        <v>Small</v>
      </c>
    </row>
    <row r="85" spans="1:15" x14ac:dyDescent="0.25">
      <c r="A85">
        <v>84</v>
      </c>
      <c r="B85">
        <v>6022</v>
      </c>
      <c r="C85" t="str">
        <v>RBB BANCORP</v>
      </c>
      <c r="D85">
        <v>1499422</v>
      </c>
      <c r="E85" t="str">
        <v>0001437749-26-007387</v>
      </c>
      <c r="F85">
        <f>IFERROR(GETPIVOTDATA("value", financials_wide!$A$3, "adsh", $E85, "tag", "Assets"),"")</f>
        <v>4208294000</v>
      </c>
      <c r="G85">
        <f>IFERROR(GETPIVOTDATA("value", financials_wide!$A$3, "adsh", $E85, "tag", "EarningsPerShareBasic"),"")</f>
        <v>1.83</v>
      </c>
      <c r="H85">
        <f>IFERROR(IFERROR(GETPIVOTDATA("value", financials_wide!$A$3, "adsh", $E85, "tag", "InterestAndDividendIncomeOperating"), GETPIVOTDATA("value", financials_wide!$A$3, "adsh", $E85, "tag", "InterestIncomeOperating")),"")</f>
        <v>221126000</v>
      </c>
      <c r="I85">
        <f>IFERROR(GETPIVOTDATA("value", financials_wide!$A$3, "adsh", $E85, "tag", "Liabilities"),"")</f>
        <v>3684884000</v>
      </c>
      <c r="J85">
        <f t="shared" si="6"/>
        <v>523410000</v>
      </c>
      <c r="K85">
        <f>IFERROR(GETPIVOTDATA("value", financials_wide!$A$3, "adsh", $E85, "tag", "NetIncomeLoss"),"")</f>
        <v>0</v>
      </c>
      <c r="L85">
        <f>IFERROR(GETPIVOTDATA("value", financials_wide!$A$3, "adsh", $E85, "tag", "StockholdersEquity"),"")</f>
        <v>0</v>
      </c>
      <c r="M85" t="e">
        <f t="shared" si="7"/>
        <v>#N/A</v>
      </c>
      <c r="N85" s="3">
        <f t="shared" si="8"/>
        <v>0</v>
      </c>
      <c r="O85" t="str">
        <f t="shared" si="9"/>
        <v>Mid</v>
      </c>
    </row>
    <row r="86" spans="1:15" x14ac:dyDescent="0.25">
      <c r="A86">
        <v>85</v>
      </c>
      <c r="B86">
        <v>6022</v>
      </c>
      <c r="C86" t="str">
        <v>PARKE BANCORP, INC.</v>
      </c>
      <c r="D86">
        <v>1315399</v>
      </c>
      <c r="E86" t="str">
        <v>0001437749-26-007748</v>
      </c>
      <c r="F86">
        <f>IFERROR(GETPIVOTDATA("value", financials_wide!$A$3, "adsh", $E86, "tag", "Assets"),"")</f>
        <v>2249436000</v>
      </c>
      <c r="G86">
        <f>IFERROR(GETPIVOTDATA("value", financials_wide!$A$3, "adsh", $E86, "tag", "EarningsPerShareBasic"),"")</f>
        <v>3.2</v>
      </c>
      <c r="H86">
        <f>IFERROR(IFERROR(GETPIVOTDATA("value", financials_wide!$A$3, "adsh", $E86, "tag", "InterestAndDividendIncomeOperating"), GETPIVOTDATA("value", financials_wide!$A$3, "adsh", $E86, "tag", "InterestIncomeOperating")),"")</f>
        <v>142677000</v>
      </c>
      <c r="I86">
        <f>IFERROR(GETPIVOTDATA("value", financials_wide!$A$3, "adsh", $E86, "tag", "Liabilities"),"")</f>
        <v>1924918000</v>
      </c>
      <c r="J86">
        <f t="shared" si="6"/>
        <v>324518000</v>
      </c>
      <c r="K86">
        <f>IFERROR(GETPIVOTDATA("value", financials_wide!$A$3, "adsh", $E86, "tag", "NetIncomeLoss"),"")</f>
        <v>37775000</v>
      </c>
      <c r="L86">
        <f>IFERROR(GETPIVOTDATA("value", financials_wide!$A$3, "adsh", $E86, "tag", "StockholdersEquity"),"")</f>
        <v>324518000</v>
      </c>
      <c r="M86">
        <f t="shared" si="7"/>
        <v>6.931621666594765</v>
      </c>
      <c r="N86" s="3">
        <f t="shared" si="8"/>
        <v>1.6793098358877514E-2</v>
      </c>
      <c r="O86" t="str">
        <f t="shared" si="9"/>
        <v>Small</v>
      </c>
    </row>
    <row r="87" spans="1:15" x14ac:dyDescent="0.25">
      <c r="A87">
        <v>86</v>
      </c>
      <c r="B87">
        <v>6021</v>
      </c>
      <c r="C87" t="str">
        <v>LCNB CORP</v>
      </c>
      <c r="D87">
        <v>1074902</v>
      </c>
      <c r="E87" t="str">
        <v>0001437749-26-007758</v>
      </c>
      <c r="F87">
        <f>IFERROR(GETPIVOTDATA("value", financials_wide!$A$3, "adsh", $E87, "tag", "Assets"),"")</f>
        <v>2240769000</v>
      </c>
      <c r="G87">
        <f>IFERROR(GETPIVOTDATA("value", financials_wide!$A$3, "adsh", $E87, "tag", "EarningsPerShareBasic"),"")</f>
        <v>1.63</v>
      </c>
      <c r="H87">
        <f>IFERROR(IFERROR(GETPIVOTDATA("value", financials_wide!$A$3, "adsh", $E87, "tag", "InterestAndDividendIncomeOperating"), GETPIVOTDATA("value", financials_wide!$A$3, "adsh", $E87, "tag", "InterestIncomeOperating")),"")</f>
        <v>102747000</v>
      </c>
      <c r="I87">
        <f>IFERROR(GETPIVOTDATA("value", financials_wide!$A$3, "adsh", $E87, "tag", "Liabilities"),"")</f>
        <v>1966840000</v>
      </c>
      <c r="J87">
        <f t="shared" si="6"/>
        <v>273929000</v>
      </c>
      <c r="K87">
        <f>IFERROR(GETPIVOTDATA("value", financials_wide!$A$3, "adsh", $E87, "tag", "NetIncomeLoss"),"")</f>
        <v>23120000</v>
      </c>
      <c r="L87">
        <f>IFERROR(GETPIVOTDATA("value", financials_wide!$A$3, "adsh", $E87, "tag", "StockholdersEquity"),"")</f>
        <v>273929000</v>
      </c>
      <c r="M87">
        <f t="shared" si="7"/>
        <v>8.1801087143018805</v>
      </c>
      <c r="N87" s="3">
        <f t="shared" si="8"/>
        <v>1.0317886404176423E-2</v>
      </c>
      <c r="O87" t="str">
        <f t="shared" si="9"/>
        <v>Small</v>
      </c>
    </row>
    <row r="88" spans="1:15" x14ac:dyDescent="0.25">
      <c r="A88">
        <v>87</v>
      </c>
      <c r="B88">
        <v>6021</v>
      </c>
      <c r="C88" t="str">
        <v>AMES NATIONAL CORP</v>
      </c>
      <c r="D88">
        <v>1132651</v>
      </c>
      <c r="E88" t="str">
        <v>0001437749-26-007976</v>
      </c>
      <c r="F88">
        <f>IFERROR(GETPIVOTDATA("value", financials_wide!$A$3, "adsh", $E88, "tag", "Assets"),"")</f>
        <v>2133540000</v>
      </c>
      <c r="G88">
        <f>IFERROR(GETPIVOTDATA("value", financials_wide!$A$3, "adsh", $E88, "tag", "EarningsPerShareBasic"),"")</f>
        <v>2.14</v>
      </c>
      <c r="H88">
        <f>IFERROR(IFERROR(GETPIVOTDATA("value", financials_wide!$A$3, "adsh", $E88, "tag", "InterestAndDividendIncomeOperating"), GETPIVOTDATA("value", financials_wide!$A$3, "adsh", $E88, "tag", "InterestIncomeOperating")),"")</f>
        <v>87093000</v>
      </c>
      <c r="I88">
        <f>IFERROR(GETPIVOTDATA("value", financials_wide!$A$3, "adsh", $E88, "tag", "Liabilities"),"")</f>
        <v>1925646000</v>
      </c>
      <c r="J88">
        <f t="shared" si="6"/>
        <v>207894000</v>
      </c>
      <c r="K88">
        <f>IFERROR(GETPIVOTDATA("value", financials_wide!$A$3, "adsh", $E88, "tag", "NetIncomeLoss"),"")</f>
        <v>19027000</v>
      </c>
      <c r="L88">
        <f>IFERROR(GETPIVOTDATA("value", financials_wide!$A$3, "adsh", $E88, "tag", "StockholdersEquity"),"")</f>
        <v>207894000</v>
      </c>
      <c r="M88">
        <f t="shared" si="7"/>
        <v>10.26263384224653</v>
      </c>
      <c r="N88" s="3">
        <f t="shared" si="8"/>
        <v>8.9180423146507683E-3</v>
      </c>
      <c r="O88" t="str">
        <f t="shared" si="9"/>
        <v>Small</v>
      </c>
    </row>
    <row r="89" spans="1:15" x14ac:dyDescent="0.25">
      <c r="A89">
        <v>88</v>
      </c>
      <c r="B89">
        <v>6022</v>
      </c>
      <c r="C89" t="str">
        <v>MAINSTREET BANCSHARES, INC.</v>
      </c>
      <c r="D89">
        <v>1693577</v>
      </c>
      <c r="E89" t="str">
        <v>0001437749-26-008073</v>
      </c>
      <c r="F89">
        <f>IFERROR(GETPIVOTDATA("value", financials_wide!$A$3, "adsh", $E89, "tag", "Assets"),"")</f>
        <v>2212669000</v>
      </c>
      <c r="G89">
        <f>IFERROR(GETPIVOTDATA("value", financials_wide!$A$3, "adsh", $E89, "tag", "EarningsPerShareBasic"),"")</f>
        <v>1.76</v>
      </c>
      <c r="H89">
        <f>IFERROR(IFERROR(GETPIVOTDATA("value", financials_wide!$A$3, "adsh", $E89, "tag", "InterestAndDividendIncomeOperating"), GETPIVOTDATA("value", financials_wide!$A$3, "adsh", $E89, "tag", "InterestIncomeOperating")),"")</f>
        <v>131588000</v>
      </c>
      <c r="I89">
        <f>IFERROR(GETPIVOTDATA("value", financials_wide!$A$3, "adsh", $E89, "tag", "Liabilities"),"")</f>
        <v>1994078000</v>
      </c>
      <c r="J89">
        <f t="shared" si="6"/>
        <v>218591000</v>
      </c>
      <c r="K89">
        <f>IFERROR(GETPIVOTDATA("value", financials_wide!$A$3, "adsh", $E89, "tag", "NetIncomeLoss"),"")</f>
        <v>15613000</v>
      </c>
      <c r="L89">
        <f>IFERROR(GETPIVOTDATA("value", financials_wide!$A$3, "adsh", $E89, "tag", "StockholdersEquity"),"")</f>
        <v>218591000</v>
      </c>
      <c r="M89">
        <f t="shared" si="7"/>
        <v>10.12241583596763</v>
      </c>
      <c r="N89" s="3">
        <f t="shared" si="8"/>
        <v>7.0561841829934798E-3</v>
      </c>
      <c r="O89" t="str">
        <f t="shared" si="9"/>
        <v>Small</v>
      </c>
    </row>
    <row r="90" spans="1:15" x14ac:dyDescent="0.25">
      <c r="A90">
        <v>89</v>
      </c>
      <c r="B90">
        <v>6021</v>
      </c>
      <c r="C90" t="str">
        <v>FIDELITY D &amp; D BANCORP INC</v>
      </c>
      <c r="D90">
        <v>1098151</v>
      </c>
      <c r="E90" t="str">
        <v>0001437749-26-008215</v>
      </c>
      <c r="F90">
        <f>IFERROR(GETPIVOTDATA("value", financials_wide!$A$3, "adsh", $E90, "tag", "Assets"),"")</f>
        <v>2748058000</v>
      </c>
      <c r="G90">
        <f>IFERROR(GETPIVOTDATA("value", financials_wide!$A$3, "adsh", $E90, "tag", "EarningsPerShareBasic"),"")</f>
        <v>4.8899999999999997</v>
      </c>
      <c r="H90">
        <f>IFERROR(IFERROR(GETPIVOTDATA("value", financials_wide!$A$3, "adsh", $E90, "tag", "InterestAndDividendIncomeOperating"), GETPIVOTDATA("value", financials_wide!$A$3, "adsh", $E90, "tag", "InterestIncomeOperating")),"")</f>
        <v>119839000</v>
      </c>
      <c r="I90">
        <f>IFERROR(GETPIVOTDATA("value", financials_wide!$A$3, "adsh", $E90, "tag", "Liabilities"),"")</f>
        <v>2509198000</v>
      </c>
      <c r="J90">
        <f t="shared" si="6"/>
        <v>238860000</v>
      </c>
      <c r="K90">
        <f>IFERROR(GETPIVOTDATA("value", financials_wide!$A$3, "adsh", $E90, "tag", "NetIncomeLoss"),"")</f>
        <v>28198000</v>
      </c>
      <c r="L90">
        <f>IFERROR(GETPIVOTDATA("value", financials_wide!$A$3, "adsh", $E90, "tag", "StockholdersEquity"),"")</f>
        <v>238860000</v>
      </c>
      <c r="M90">
        <f t="shared" si="7"/>
        <v>11.504889893661559</v>
      </c>
      <c r="N90" s="3">
        <f t="shared" si="8"/>
        <v>1.0261064358903633E-2</v>
      </c>
      <c r="O90" t="str">
        <f t="shared" si="9"/>
        <v>Mid</v>
      </c>
    </row>
    <row r="91" spans="1:15" x14ac:dyDescent="0.25">
      <c r="A91">
        <v>90</v>
      </c>
      <c r="B91">
        <v>6022</v>
      </c>
      <c r="C91" t="str">
        <v>INVESTAR HOLDING CORP</v>
      </c>
      <c r="D91">
        <v>1602658</v>
      </c>
      <c r="E91" t="str">
        <v>0001437749-26-008446</v>
      </c>
      <c r="F91">
        <f>IFERROR(GETPIVOTDATA("value", financials_wide!$A$3, "adsh", $E91, "tag", "Assets"),"")</f>
        <v>2833048000</v>
      </c>
      <c r="G91">
        <f>IFERROR(GETPIVOTDATA("value", financials_wide!$A$3, "adsh", $E91, "tag", "EarningsPerShareBasic"),"")</f>
        <v>2.2200000000000002</v>
      </c>
      <c r="H91">
        <f>IFERROR(IFERROR(GETPIVOTDATA("value", financials_wide!$A$3, "adsh", $E91, "tag", "InterestAndDividendIncomeOperating"), GETPIVOTDATA("value", financials_wide!$A$3, "adsh", $E91, "tag", "InterestIncomeOperating")),"")</f>
        <v>144016000</v>
      </c>
      <c r="I91">
        <f>IFERROR(GETPIVOTDATA("value", financials_wide!$A$3, "adsh", $E91, "tag", "Liabilities"),"")</f>
        <v>2531975000</v>
      </c>
      <c r="J91">
        <f t="shared" si="6"/>
        <v>301073000</v>
      </c>
      <c r="K91">
        <f>IFERROR(GETPIVOTDATA("value", financials_wide!$A$3, "adsh", $E91, "tag", "NetIncomeLoss"),"")</f>
        <v>22904000</v>
      </c>
      <c r="L91">
        <f>IFERROR(GETPIVOTDATA("value", financials_wide!$A$3, "adsh", $E91, "tag", "StockholdersEquity"),"")</f>
        <v>301073000</v>
      </c>
      <c r="M91">
        <f t="shared" si="7"/>
        <v>9.4098374812753054</v>
      </c>
      <c r="N91" s="3">
        <f t="shared" si="8"/>
        <v>8.0845788705309618E-3</v>
      </c>
      <c r="O91" t="str">
        <f t="shared" si="9"/>
        <v>Mid</v>
      </c>
    </row>
    <row r="92" spans="1:15" x14ac:dyDescent="0.25">
      <c r="A92">
        <v>91</v>
      </c>
      <c r="B92">
        <v>6022</v>
      </c>
      <c r="C92" t="str">
        <v>AVIDBANK HOLDINGS, INC.</v>
      </c>
      <c r="D92">
        <v>1443575</v>
      </c>
      <c r="E92" t="str">
        <v>0001437749-26-008852</v>
      </c>
      <c r="F92">
        <f>IFERROR(GETPIVOTDATA("value", financials_wide!$A$3, "adsh", $E92, "tag", "Assets"),"")</f>
        <v>2569643000</v>
      </c>
      <c r="G92">
        <f>IFERROR(GETPIVOTDATA("value", financials_wide!$A$3, "adsh", $E92, "tag", "EarningsPerShareBasic"),"")</f>
        <v>-2.25</v>
      </c>
      <c r="H92">
        <f>IFERROR(IFERROR(GETPIVOTDATA("value", financials_wide!$A$3, "adsh", $E92, "tag", "InterestAndDividendIncomeOperating"), GETPIVOTDATA("value", financials_wide!$A$3, "adsh", $E92, "tag", "InterestIncomeOperating")),"")</f>
        <v>145750000</v>
      </c>
      <c r="I92">
        <f>IFERROR(GETPIVOTDATA("value", financials_wide!$A$3, "adsh", $E92, "tag", "Liabilities"),"")</f>
        <v>2288664000</v>
      </c>
      <c r="J92">
        <f t="shared" si="6"/>
        <v>280979000</v>
      </c>
      <c r="K92">
        <f>IFERROR(GETPIVOTDATA("value", financials_wide!$A$3, "adsh", $E92, "tag", "NetIncomeLoss"),"")</f>
        <v>-19553000</v>
      </c>
      <c r="L92">
        <f>IFERROR(GETPIVOTDATA("value", financials_wide!$A$3, "adsh", $E92, "tag", "StockholdersEquity"),"")</f>
        <v>280979000</v>
      </c>
      <c r="M92">
        <f t="shared" si="7"/>
        <v>9.1453204687894818</v>
      </c>
      <c r="N92" s="3">
        <f t="shared" si="8"/>
        <v>-7.6092282079650757E-3</v>
      </c>
      <c r="O92" t="str">
        <f t="shared" si="9"/>
        <v>Small</v>
      </c>
    </row>
    <row r="93" spans="1:15" x14ac:dyDescent="0.25">
      <c r="A93">
        <v>92</v>
      </c>
      <c r="B93">
        <v>6022</v>
      </c>
      <c r="C93" t="str">
        <v>SKYLINE BANKSHARES, INC.</v>
      </c>
      <c r="D93">
        <v>1657642</v>
      </c>
      <c r="E93" t="str">
        <v>0001437749-26-009154</v>
      </c>
      <c r="F93">
        <f>IFERROR(GETPIVOTDATA("value", financials_wide!$A$3, "adsh", $E93, "tag", "Assets"),"")</f>
        <v>1293303000</v>
      </c>
      <c r="G93">
        <f>IFERROR(GETPIVOTDATA("value", financials_wide!$A$3, "adsh", $E93, "tag", "EarningsPerShareBasic"),"")</f>
        <v>2.84</v>
      </c>
      <c r="H93">
        <f>IFERROR(IFERROR(GETPIVOTDATA("value", financials_wide!$A$3, "adsh", $E93, "tag", "InterestAndDividendIncomeOperating"), GETPIVOTDATA("value", financials_wide!$A$3, "adsh", $E93, "tag", "InterestIncomeOperating")),"")</f>
        <v>65749000</v>
      </c>
      <c r="I93">
        <f>IFERROR(GETPIVOTDATA("value", financials_wide!$A$3, "adsh", $E93, "tag", "Liabilities"),"")</f>
        <v>1185639000</v>
      </c>
      <c r="J93">
        <f t="shared" si="6"/>
        <v>107664000</v>
      </c>
      <c r="K93">
        <f>IFERROR(GETPIVOTDATA("value", financials_wide!$A$3, "adsh", $E93, "tag", "NetIncomeLoss"),"")</f>
        <v>15842000</v>
      </c>
      <c r="L93">
        <f>IFERROR(GETPIVOTDATA("value", financials_wide!$A$3, "adsh", $E93, "tag", "StockholdersEquity"),"")</f>
        <v>107664000</v>
      </c>
      <c r="M93">
        <f t="shared" si="7"/>
        <v>12.012399687917966</v>
      </c>
      <c r="N93" s="3">
        <f t="shared" si="8"/>
        <v>1.2249256361424972E-2</v>
      </c>
      <c r="O93" t="str">
        <f t="shared" si="9"/>
        <v>Small</v>
      </c>
    </row>
    <row r="94" spans="1:15" x14ac:dyDescent="0.25">
      <c r="A94">
        <v>93</v>
      </c>
      <c r="B94">
        <v>6022</v>
      </c>
      <c r="C94" t="str">
        <v>SECURITY FEDERAL CORP</v>
      </c>
      <c r="D94">
        <v>818677</v>
      </c>
      <c r="E94" t="str">
        <v>0001437749-26-009181</v>
      </c>
      <c r="F94">
        <f>IFERROR(GETPIVOTDATA("value", financials_wide!$A$3, "adsh", $E94, "tag", "Assets"),"")</f>
        <v>1618084000</v>
      </c>
      <c r="G94">
        <f>IFERROR(GETPIVOTDATA("value", financials_wide!$A$3, "adsh", $E94, "tag", "EarningsPerShareBasic"),"")</f>
        <v>3.8</v>
      </c>
      <c r="H94">
        <f>IFERROR(IFERROR(GETPIVOTDATA("value", financials_wide!$A$3, "adsh", $E94, "tag", "InterestAndDividendIncomeOperating"), GETPIVOTDATA("value", financials_wide!$A$3, "adsh", $E94, "tag", "InterestIncomeOperating")),"")</f>
        <v>78652000</v>
      </c>
      <c r="I94">
        <f>IFERROR(GETPIVOTDATA("value", financials_wide!$A$3, "adsh", $E94, "tag", "Liabilities"),"")</f>
        <v>1417629000</v>
      </c>
      <c r="J94">
        <f t="shared" si="6"/>
        <v>200455000</v>
      </c>
      <c r="K94">
        <f>IFERROR(GETPIVOTDATA("value", financials_wide!$A$3, "adsh", $E94, "tag", "NetIncomeLoss"),"")</f>
        <v>13673000</v>
      </c>
      <c r="L94">
        <f>IFERROR(GETPIVOTDATA("value", financials_wide!$A$3, "adsh", $E94, "tag", "StockholdersEquity"),"")</f>
        <v>200455000</v>
      </c>
      <c r="M94">
        <f t="shared" si="7"/>
        <v>8.0720560724352097</v>
      </c>
      <c r="N94" s="3">
        <f t="shared" si="8"/>
        <v>8.4501175464314592E-3</v>
      </c>
      <c r="O94" t="str">
        <f t="shared" si="9"/>
        <v>Small</v>
      </c>
    </row>
    <row r="95" spans="1:15" x14ac:dyDescent="0.25">
      <c r="A95">
        <v>94</v>
      </c>
      <c r="B95">
        <v>6022</v>
      </c>
      <c r="C95" t="str">
        <v>FIRST NATIONAL CORP /VA/</v>
      </c>
      <c r="D95">
        <v>719402</v>
      </c>
      <c r="E95" t="str">
        <v>0001437749-26-009748</v>
      </c>
      <c r="F95">
        <f>IFERROR(GETPIVOTDATA("value", financials_wide!$A$3, "adsh", $E95, "tag", "Assets"),"")</f>
        <v>2037978000</v>
      </c>
      <c r="G95">
        <f>IFERROR(GETPIVOTDATA("value", financials_wide!$A$3, "adsh", $E95, "tag", "EarningsPerShareBasic"),"")</f>
        <v>1.97</v>
      </c>
      <c r="H95">
        <f>IFERROR(IFERROR(GETPIVOTDATA("value", financials_wide!$A$3, "adsh", $E95, "tag", "InterestAndDividendIncomeOperating"), GETPIVOTDATA("value", financials_wide!$A$3, "adsh", $E95, "tag", "InterestIncomeOperating")),"")</f>
        <v>99497000</v>
      </c>
      <c r="I95">
        <f>IFERROR(GETPIVOTDATA("value", financials_wide!$A$3, "adsh", $E95, "tag", "Liabilities"),"")</f>
        <v>1851782000</v>
      </c>
      <c r="J95">
        <f t="shared" si="6"/>
        <v>186196000</v>
      </c>
      <c r="K95">
        <f>IFERROR(GETPIVOTDATA("value", financials_wide!$A$3, "adsh", $E95, "tag", "NetIncomeLoss"),"")</f>
        <v>17703000</v>
      </c>
      <c r="L95">
        <f>IFERROR(GETPIVOTDATA("value", financials_wide!$A$3, "adsh", $E95, "tag", "StockholdersEquity"),"")</f>
        <v>186196000</v>
      </c>
      <c r="M95">
        <f t="shared" si="7"/>
        <v>10.945337171582633</v>
      </c>
      <c r="N95" s="3">
        <f t="shared" si="8"/>
        <v>8.6865510815131476E-3</v>
      </c>
      <c r="O95" t="str">
        <f t="shared" si="9"/>
        <v>Small</v>
      </c>
    </row>
    <row r="96" spans="1:15" x14ac:dyDescent="0.25">
      <c r="A96">
        <v>95</v>
      </c>
      <c r="B96">
        <v>6022</v>
      </c>
      <c r="C96" t="str">
        <v>OAK VALLEY BANCORP</v>
      </c>
      <c r="D96">
        <v>1431567</v>
      </c>
      <c r="E96" t="str">
        <v>0001437749-26-009757</v>
      </c>
      <c r="F96">
        <f>IFERROR(GETPIVOTDATA("value", financials_wide!$A$3, "adsh", $E96, "tag", "Assets"),"")</f>
        <v>2023116000</v>
      </c>
      <c r="G96">
        <f>IFERROR(GETPIVOTDATA("value", financials_wide!$A$3, "adsh", $E96, "tag", "EarningsPerShareBasic"),"")</f>
        <v>2.9</v>
      </c>
      <c r="H96">
        <f>IFERROR(IFERROR(GETPIVOTDATA("value", financials_wide!$A$3, "adsh", $E96, "tag", "InterestAndDividendIncomeOperating"), GETPIVOTDATA("value", financials_wide!$A$3, "adsh", $E96, "tag", "InterestIncomeOperating")),"")</f>
        <v>87922000</v>
      </c>
      <c r="I96">
        <f>IFERROR(GETPIVOTDATA("value", financials_wide!$A$3, "adsh", $E96, "tag", "Liabilities"),"")</f>
        <v>1815141000</v>
      </c>
      <c r="J96">
        <f t="shared" si="6"/>
        <v>207975000</v>
      </c>
      <c r="K96">
        <f>IFERROR(GETPIVOTDATA("value", financials_wide!$A$3, "adsh", $E96, "tag", "NetIncomeLoss"),"")</f>
        <v>23913000</v>
      </c>
      <c r="L96">
        <f>IFERROR(GETPIVOTDATA("value", financials_wide!$A$3, "adsh", $E96, "tag", "StockholdersEquity"),"")</f>
        <v>207975000</v>
      </c>
      <c r="M96">
        <f t="shared" si="7"/>
        <v>9.7276884240894343</v>
      </c>
      <c r="N96" s="3">
        <f t="shared" si="8"/>
        <v>1.181988576038151E-2</v>
      </c>
      <c r="O96" t="str">
        <f t="shared" si="9"/>
        <v>Small</v>
      </c>
    </row>
    <row r="97" spans="1:15" x14ac:dyDescent="0.25">
      <c r="A97">
        <v>96</v>
      </c>
      <c r="B97">
        <v>6022</v>
      </c>
      <c r="C97" t="str">
        <v>STEELE BANCORP INC</v>
      </c>
      <c r="D97">
        <v>779227</v>
      </c>
      <c r="E97" t="str">
        <v>0001437749-26-010240</v>
      </c>
      <c r="F97">
        <f>IFERROR(GETPIVOTDATA("value", financials_wide!$A$3, "adsh", $E97, "tag", "Assets"),"")</f>
        <v>1261457000</v>
      </c>
      <c r="G97">
        <f>IFERROR(GETPIVOTDATA("value", financials_wide!$A$3, "adsh", $E97, "tag", "EarningsPerShareBasic"),"")</f>
        <v>9.15</v>
      </c>
      <c r="H97">
        <f>IFERROR(IFERROR(GETPIVOTDATA("value", financials_wide!$A$3, "adsh", $E97, "tag", "InterestAndDividendIncomeOperating"), GETPIVOTDATA("value", financials_wide!$A$3, "adsh", $E97, "tag", "InterestIncomeOperating")),"")</f>
        <v>47001000</v>
      </c>
      <c r="I97">
        <f>IFERROR(GETPIVOTDATA("value", financials_wide!$A$3, "adsh", $E97, "tag", "Liabilities"),"")</f>
        <v>1143058000</v>
      </c>
      <c r="J97">
        <f t="shared" si="6"/>
        <v>118399000</v>
      </c>
      <c r="K97">
        <f>IFERROR(GETPIVOTDATA("value", financials_wide!$A$3, "adsh", $E97, "tag", "NetIncomeLoss"),"")</f>
        <v>22888000</v>
      </c>
      <c r="L97">
        <f>IFERROR(GETPIVOTDATA("value", financials_wide!$A$3, "adsh", $E97, "tag", "StockholdersEquity"),"")</f>
        <v>118399000</v>
      </c>
      <c r="M97">
        <f t="shared" si="7"/>
        <v>10.654287620672472</v>
      </c>
      <c r="N97" s="3">
        <f t="shared" si="8"/>
        <v>1.8144098451235356E-2</v>
      </c>
      <c r="O97" t="str">
        <f t="shared" si="9"/>
        <v>Small</v>
      </c>
    </row>
    <row r="98" spans="1:15" x14ac:dyDescent="0.25">
      <c r="A98">
        <v>97</v>
      </c>
      <c r="B98">
        <v>6022</v>
      </c>
      <c r="C98" t="str">
        <v>EMBASSY BANCORP, INC.</v>
      </c>
      <c r="D98">
        <v>1449794</v>
      </c>
      <c r="E98" t="str">
        <v>0001449794-26-000003</v>
      </c>
      <c r="F98">
        <f>IFERROR(GETPIVOTDATA("value", financials_wide!$A$3, "adsh", $E98, "tag", "Assets"),"")</f>
        <v>1800579000</v>
      </c>
      <c r="G98">
        <f>IFERROR(GETPIVOTDATA("value", financials_wide!$A$3, "adsh", $E98, "tag", "EarningsPerShareBasic"),"")</f>
        <v>1.79</v>
      </c>
      <c r="H98">
        <f>IFERROR(IFERROR(GETPIVOTDATA("value", financials_wide!$A$3, "adsh", $E98, "tag", "InterestAndDividendIncomeOperating"), GETPIVOTDATA("value", financials_wide!$A$3, "adsh", $E98, "tag", "InterestIncomeOperating")),"")</f>
        <v>71462000</v>
      </c>
      <c r="I98">
        <f>IFERROR(GETPIVOTDATA("value", financials_wide!$A$3, "adsh", $E98, "tag", "Liabilities"),"")</f>
        <v>1673004000</v>
      </c>
      <c r="J98">
        <f t="shared" si="6"/>
        <v>127575000</v>
      </c>
      <c r="K98">
        <f>IFERROR(GETPIVOTDATA("value", financials_wide!$A$3, "adsh", $E98, "tag", "NetIncomeLoss"),"")</f>
        <v>13697000</v>
      </c>
      <c r="L98">
        <f>IFERROR(GETPIVOTDATA("value", financials_wide!$A$3, "adsh", $E98, "tag", "StockholdersEquity"),"")</f>
        <v>127575000</v>
      </c>
      <c r="M98">
        <f t="shared" si="7"/>
        <v>14.113885949441505</v>
      </c>
      <c r="N98" s="3">
        <f t="shared" si="8"/>
        <v>7.6069975269066224E-3</v>
      </c>
      <c r="O98" t="str">
        <f t="shared" si="9"/>
        <v>Small</v>
      </c>
    </row>
    <row r="99" spans="1:15" x14ac:dyDescent="0.25">
      <c r="A99">
        <v>98</v>
      </c>
      <c r="B99">
        <v>6022</v>
      </c>
      <c r="C99" t="str">
        <v>MIDLAND STATES BANCORP, INC.</v>
      </c>
      <c r="D99">
        <v>1466026</v>
      </c>
      <c r="E99" t="str">
        <v>0001466026-26-000020</v>
      </c>
      <c r="F99">
        <f>IFERROR(GETPIVOTDATA("value", financials_wide!$A$3, "adsh", $E99, "tag", "Assets"),"")</f>
        <v>6513420000</v>
      </c>
      <c r="G99">
        <f>IFERROR(GETPIVOTDATA("value", financials_wide!$A$3, "adsh", $E99, "tag", "EarningsPerShareBasic"),"")</f>
        <v>-6.12</v>
      </c>
      <c r="H99">
        <f>IFERROR(IFERROR(GETPIVOTDATA("value", financials_wide!$A$3, "adsh", $E99, "tag", "InterestAndDividendIncomeOperating"), GETPIVOTDATA("value", financials_wide!$A$3, "adsh", $E99, "tag", "InterestIncomeOperating")),"")</f>
        <v>0</v>
      </c>
      <c r="I99">
        <f>IFERROR(GETPIVOTDATA("value", financials_wide!$A$3, "adsh", $E99, "tag", "Liabilities"),"")</f>
        <v>5947921000</v>
      </c>
      <c r="J99">
        <f t="shared" si="6"/>
        <v>565499000</v>
      </c>
      <c r="K99">
        <f>IFERROR(GETPIVOTDATA("value", financials_wide!$A$3, "adsh", $E99, "tag", "NetIncomeLoss"),"")</f>
        <v>-124281000</v>
      </c>
      <c r="L99">
        <f>IFERROR(GETPIVOTDATA("value", financials_wide!$A$3, "adsh", $E99, "tag", "StockholdersEquity"),"")</f>
        <v>565499000</v>
      </c>
      <c r="M99">
        <f t="shared" si="7"/>
        <v>11.518004452704602</v>
      </c>
      <c r="N99" s="3">
        <f t="shared" si="8"/>
        <v>-1.9080759416711959E-2</v>
      </c>
      <c r="O99" t="str">
        <f t="shared" si="9"/>
        <v>Mid</v>
      </c>
    </row>
    <row r="100" spans="1:15" x14ac:dyDescent="0.25">
      <c r="A100">
        <v>99</v>
      </c>
      <c r="B100">
        <v>6022</v>
      </c>
      <c r="C100" t="str">
        <v>TRI-COUNTY FINANCIAL GROUP, INC.</v>
      </c>
      <c r="D100">
        <v>1725262</v>
      </c>
      <c r="E100" t="str">
        <v>0001493152-26-009243</v>
      </c>
      <c r="F100">
        <f>IFERROR(GETPIVOTDATA("value", financials_wide!$A$3, "adsh", $E100, "tag", "Assets"),"")</f>
        <v>1595721000</v>
      </c>
      <c r="G100">
        <f>IFERROR(GETPIVOTDATA("value", financials_wide!$A$3, "adsh", $E100, "tag", "EarningsPerShareBasic"),"")</f>
        <v>5.73</v>
      </c>
      <c r="H100">
        <f>IFERROR(IFERROR(GETPIVOTDATA("value", financials_wide!$A$3, "adsh", $E100, "tag", "InterestAndDividendIncomeOperating"), GETPIVOTDATA("value", financials_wide!$A$3, "adsh", $E100, "tag", "InterestIncomeOperating")),"")</f>
        <v>82028000</v>
      </c>
      <c r="I100">
        <f>IFERROR(GETPIVOTDATA("value", financials_wide!$A$3, "adsh", $E100, "tag", "Liabilities"),"")</f>
        <v>1437950000</v>
      </c>
      <c r="J100">
        <f t="shared" si="6"/>
        <v>157771000</v>
      </c>
      <c r="K100">
        <f>IFERROR(GETPIVOTDATA("value", financials_wide!$A$3, "adsh", $E100, "tag", "NetIncomeLoss"),"")</f>
        <v>13663000</v>
      </c>
      <c r="L100">
        <f>IFERROR(GETPIVOTDATA("value", financials_wide!$A$3, "adsh", $E100, "tag", "StockholdersEquity"),"")</f>
        <v>157771000</v>
      </c>
      <c r="M100">
        <f t="shared" si="7"/>
        <v>10.11415912937105</v>
      </c>
      <c r="N100" s="3">
        <f t="shared" si="8"/>
        <v>8.5622737308088323E-3</v>
      </c>
      <c r="O100" t="str">
        <f t="shared" si="9"/>
        <v>Small</v>
      </c>
    </row>
    <row r="101" spans="1:15" x14ac:dyDescent="0.25">
      <c r="A101">
        <v>100</v>
      </c>
      <c r="B101">
        <v>6022</v>
      </c>
      <c r="C101" t="str">
        <v>BANKWELL FINANCIAL GROUP, INC.</v>
      </c>
      <c r="D101">
        <v>1505732</v>
      </c>
      <c r="E101" t="str">
        <v>0001505732-26-000046</v>
      </c>
      <c r="F101">
        <f>IFERROR(GETPIVOTDATA("value", financials_wide!$A$3, "adsh", $E101, "tag", "Assets"),"")</f>
        <v>3359859000</v>
      </c>
      <c r="G101">
        <f>IFERROR(GETPIVOTDATA("value", financials_wide!$A$3, "adsh", $E101, "tag", "EarningsPerShareBasic"),"")</f>
        <v>4.49</v>
      </c>
      <c r="H101">
        <f>IFERROR(IFERROR(GETPIVOTDATA("value", financials_wide!$A$3, "adsh", $E101, "tag", "InterestAndDividendIncomeOperating"), GETPIVOTDATA("value", financials_wide!$A$3, "adsh", $E101, "tag", "InterestIncomeOperating")),"")</f>
        <v>198327000</v>
      </c>
      <c r="I101">
        <f>IFERROR(GETPIVOTDATA("value", financials_wide!$A$3, "adsh", $E101, "tag", "Liabilities"),"")</f>
        <v>3058370000</v>
      </c>
      <c r="J101">
        <f t="shared" si="6"/>
        <v>301489000</v>
      </c>
      <c r="K101">
        <f>IFERROR(GETPIVOTDATA("value", financials_wide!$A$3, "adsh", $E101, "tag", "NetIncomeLoss"),"")</f>
        <v>35198000</v>
      </c>
      <c r="L101">
        <f>IFERROR(GETPIVOTDATA("value", financials_wide!$A$3, "adsh", $E101, "tag", "StockholdersEquity"),"")</f>
        <v>301489000</v>
      </c>
      <c r="M101">
        <f t="shared" si="7"/>
        <v>11.14421753364136</v>
      </c>
      <c r="N101" s="3">
        <f t="shared" si="8"/>
        <v>1.0476034857415148E-2</v>
      </c>
      <c r="O101" t="str">
        <f t="shared" si="9"/>
        <v>Mid</v>
      </c>
    </row>
    <row r="102" spans="1:15" x14ac:dyDescent="0.25">
      <c r="A102">
        <v>101</v>
      </c>
      <c r="B102">
        <v>6022</v>
      </c>
      <c r="C102" t="str">
        <v>MECHANICS BANCORP</v>
      </c>
      <c r="D102">
        <v>1518715</v>
      </c>
      <c r="E102" t="str">
        <v>0001518715-26-000026</v>
      </c>
      <c r="F102">
        <f>IFERROR(GETPIVOTDATA("value", financials_wide!$A$3, "adsh", $E102, "tag", "Assets"),"")</f>
        <v>22351475000</v>
      </c>
      <c r="G102">
        <f>IFERROR(GETPIVOTDATA("value", financials_wide!$A$3, "adsh", $E102, "tag", "EarningsPerShareBasic"),"")</f>
        <v>1.27</v>
      </c>
      <c r="H102">
        <f>IFERROR(IFERROR(GETPIVOTDATA("value", financials_wide!$A$3, "adsh", $E102, "tag", "InterestAndDividendIncomeOperating"), GETPIVOTDATA("value", financials_wide!$A$3, "adsh", $E102, "tag", "InterestIncomeOperating")),"")</f>
        <v>811764000</v>
      </c>
      <c r="I102">
        <f>IFERROR(GETPIVOTDATA("value", financials_wide!$A$3, "adsh", $E102, "tag", "Liabilities"),"")</f>
        <v>19489100000</v>
      </c>
      <c r="J102">
        <f t="shared" si="6"/>
        <v>2862375000</v>
      </c>
      <c r="K102">
        <f>IFERROR(GETPIVOTDATA("value", financials_wide!$A$3, "adsh", $E102, "tag", "NetIncomeLoss"),"")</f>
        <v>265739000</v>
      </c>
      <c r="L102">
        <f>IFERROR(GETPIVOTDATA("value", financials_wide!$A$3, "adsh", $E102, "tag", "StockholdersEquity"),"")</f>
        <v>2862375000</v>
      </c>
      <c r="M102">
        <f t="shared" si="7"/>
        <v>7.8087165378400805</v>
      </c>
      <c r="N102" s="3">
        <f t="shared" si="8"/>
        <v>1.1889103515539802E-2</v>
      </c>
      <c r="O102" t="str">
        <f t="shared" si="9"/>
        <v>Large</v>
      </c>
    </row>
    <row r="103" spans="1:15" x14ac:dyDescent="0.25">
      <c r="A103">
        <v>102</v>
      </c>
      <c r="B103">
        <v>6022</v>
      </c>
      <c r="C103" t="str">
        <v>FIRST COMMUNITY CORP /SC/</v>
      </c>
      <c r="D103">
        <v>932781</v>
      </c>
      <c r="E103" t="str">
        <v>0001552781-26-000126</v>
      </c>
      <c r="F103">
        <f>IFERROR(GETPIVOTDATA("value", financials_wide!$A$3, "adsh", $E103, "tag", "Assets"),"")</f>
        <v>2057732000</v>
      </c>
      <c r="G103">
        <f>IFERROR(GETPIVOTDATA("value", financials_wide!$A$3, "adsh", $E103, "tag", "EarningsPerShareBasic"),"")</f>
        <v>2.5099999999999998</v>
      </c>
      <c r="H103">
        <f>IFERROR(IFERROR(GETPIVOTDATA("value", financials_wide!$A$3, "adsh", $E103, "tag", "InterestAndDividendIncomeOperating"), GETPIVOTDATA("value", financials_wide!$A$3, "adsh", $E103, "tag", "InterestIncomeOperating")),"")</f>
        <v>97054000</v>
      </c>
      <c r="I103">
        <f>IFERROR(GETPIVOTDATA("value", financials_wide!$A$3, "adsh", $E103, "tag", "Liabilities"),"")</f>
        <v>1890175000</v>
      </c>
      <c r="J103">
        <f t="shared" si="6"/>
        <v>167557000</v>
      </c>
      <c r="K103">
        <f>IFERROR(GETPIVOTDATA("value", financials_wide!$A$3, "adsh", $E103, "tag", "NetIncomeLoss"),"")</f>
        <v>19205000</v>
      </c>
      <c r="L103">
        <f>IFERROR(GETPIVOTDATA("value", financials_wide!$A$3, "adsh", $E103, "tag", "StockholdersEquity"),"")</f>
        <v>167557000</v>
      </c>
      <c r="M103">
        <f t="shared" si="7"/>
        <v>12.280788030341913</v>
      </c>
      <c r="N103" s="3">
        <f t="shared" si="8"/>
        <v>9.3330909953288372E-3</v>
      </c>
      <c r="O103" t="str">
        <f t="shared" si="9"/>
        <v>Small</v>
      </c>
    </row>
    <row r="104" spans="1:15" x14ac:dyDescent="0.25">
      <c r="A104">
        <v>103</v>
      </c>
      <c r="B104">
        <v>6022</v>
      </c>
      <c r="C104" t="str">
        <v>FIRST INTERNET BANCORP</v>
      </c>
      <c r="D104">
        <v>1562463</v>
      </c>
      <c r="E104" t="str">
        <v>0001562463-26-000022</v>
      </c>
      <c r="F104" t="str">
        <f>IFERROR(GETPIVOTDATA("value", financials_wide!$A$3, "adsh", $E104, "tag", "Assets"),"")</f>
        <v/>
      </c>
      <c r="G104" t="str">
        <f>IFERROR(GETPIVOTDATA("value", financials_wide!$A$3, "adsh", $E104, "tag", "EarningsPerShareBasic"),"")</f>
        <v/>
      </c>
      <c r="H104" t="str">
        <f>IFERROR(IFERROR(GETPIVOTDATA("value", financials_wide!$A$3, "adsh", $E104, "tag", "InterestAndDividendIncomeOperating"), GETPIVOTDATA("value", financials_wide!$A$3, "adsh", $E104, "tag", "InterestIncomeOperating")),"")</f>
        <v/>
      </c>
      <c r="I104" t="str">
        <f>IFERROR(GETPIVOTDATA("value", financials_wide!$A$3, "adsh", $E104, "tag", "Liabilities"),"")</f>
        <v/>
      </c>
      <c r="J104" t="str">
        <f t="shared" si="6"/>
        <v/>
      </c>
      <c r="K104" t="str">
        <f>IFERROR(GETPIVOTDATA("value", financials_wide!$A$3, "adsh", $E104, "tag", "NetIncomeLoss"),"")</f>
        <v/>
      </c>
      <c r="L104" t="str">
        <f>IFERROR(GETPIVOTDATA("value", financials_wide!$A$3, "adsh", $E104, "tag", "StockholdersEquity"),"")</f>
        <v/>
      </c>
      <c r="M104" t="e">
        <f t="shared" si="7"/>
        <v>#N/A</v>
      </c>
      <c r="N104" s="3" t="e">
        <f t="shared" si="8"/>
        <v>#N/A</v>
      </c>
      <c r="O104" t="str">
        <f t="shared" si="9"/>
        <v/>
      </c>
    </row>
    <row r="105" spans="1:15" x14ac:dyDescent="0.25">
      <c r="A105">
        <v>104</v>
      </c>
      <c r="B105">
        <v>6022</v>
      </c>
      <c r="C105" t="str">
        <v>USCB FINANCIAL HOLDINGS, INC.</v>
      </c>
      <c r="D105">
        <v>1901637</v>
      </c>
      <c r="E105" t="str">
        <v>0001562762-26-000027</v>
      </c>
      <c r="F105">
        <f>IFERROR(GETPIVOTDATA("value", financials_wide!$A$3, "adsh", $E105, "tag", "Assets"),"")</f>
        <v>2791540000</v>
      </c>
      <c r="G105">
        <f>IFERROR(GETPIVOTDATA("value", financials_wide!$A$3, "adsh", $E105, "tag", "EarningsPerShareBasic"),"")</f>
        <v>1.34</v>
      </c>
      <c r="H105">
        <f>IFERROR(IFERROR(GETPIVOTDATA("value", financials_wide!$A$3, "adsh", $E105, "tag", "InterestAndDividendIncomeOperating"), GETPIVOTDATA("value", financials_wide!$A$3, "adsh", $E105, "tag", "InterestIncomeOperating")),"")</f>
        <v>145487000</v>
      </c>
      <c r="I105">
        <f>IFERROR(GETPIVOTDATA("value", financials_wide!$A$3, "adsh", $E105, "tag", "Liabilities"),"")</f>
        <v>2574357000</v>
      </c>
      <c r="J105">
        <f t="shared" si="6"/>
        <v>217183000</v>
      </c>
      <c r="K105">
        <f>IFERROR(GETPIVOTDATA("value", financials_wide!$A$3, "adsh", $E105, "tag", "NetIncomeLoss"),"")</f>
        <v>26100000</v>
      </c>
      <c r="L105">
        <f>IFERROR(GETPIVOTDATA("value", financials_wide!$A$3, "adsh", $E105, "tag", "StockholdersEquity"),"")</f>
        <v>217183000</v>
      </c>
      <c r="M105">
        <f t="shared" si="7"/>
        <v>12.853400128002653</v>
      </c>
      <c r="N105" s="3">
        <f t="shared" si="8"/>
        <v>9.3496779555370876E-3</v>
      </c>
      <c r="O105" t="str">
        <f t="shared" si="9"/>
        <v>Mid</v>
      </c>
    </row>
    <row r="106" spans="1:15" x14ac:dyDescent="0.25">
      <c r="A106">
        <v>105</v>
      </c>
      <c r="B106">
        <v>6022</v>
      </c>
      <c r="C106" t="str">
        <v>CB FINANCIAL SERVICES, INC.</v>
      </c>
      <c r="D106">
        <v>1605301</v>
      </c>
      <c r="E106" t="str">
        <v>0001605301-26-000009</v>
      </c>
      <c r="F106">
        <f>IFERROR(GETPIVOTDATA("value", financials_wide!$A$3, "adsh", $E106, "tag", "Assets"),"")</f>
        <v>1547693000</v>
      </c>
      <c r="G106">
        <f>IFERROR(GETPIVOTDATA("value", financials_wide!$A$3, "adsh", $E106, "tag", "EarningsPerShareBasic"),"")</f>
        <v>0.97</v>
      </c>
      <c r="H106">
        <f>IFERROR(IFERROR(GETPIVOTDATA("value", financials_wide!$A$3, "adsh", $E106, "tag", "InterestAndDividendIncomeOperating"), GETPIVOTDATA("value", financials_wide!$A$3, "adsh", $E106, "tag", "InterestIncomeOperating")),"")</f>
        <v>75939000</v>
      </c>
      <c r="I106">
        <f>IFERROR(GETPIVOTDATA("value", financials_wide!$A$3, "adsh", $E106, "tag", "Liabilities"),"")</f>
        <v>1390156000</v>
      </c>
      <c r="J106">
        <f t="shared" si="6"/>
        <v>157537000</v>
      </c>
      <c r="K106">
        <f>IFERROR(GETPIVOTDATA("value", financials_wide!$A$3, "adsh", $E106, "tag", "NetIncomeLoss"),"")</f>
        <v>4903000</v>
      </c>
      <c r="L106">
        <f>IFERROR(GETPIVOTDATA("value", financials_wide!$A$3, "adsh", $E106, "tag", "StockholdersEquity"),"")</f>
        <v>157537000</v>
      </c>
      <c r="M106">
        <f t="shared" si="7"/>
        <v>9.8243142880720082</v>
      </c>
      <c r="N106" s="3">
        <f t="shared" si="8"/>
        <v>3.1679409288534613E-3</v>
      </c>
      <c r="O106" t="str">
        <f t="shared" si="9"/>
        <v>Small</v>
      </c>
    </row>
    <row r="107" spans="1:15" x14ac:dyDescent="0.25">
      <c r="A107">
        <v>106</v>
      </c>
      <c r="B107">
        <v>6022</v>
      </c>
      <c r="C107" t="str">
        <v>HERITAGE COMMERCE CORP</v>
      </c>
      <c r="D107">
        <v>1053352</v>
      </c>
      <c r="E107" t="str">
        <v>0001628280-26-016050</v>
      </c>
      <c r="F107">
        <f>IFERROR(GETPIVOTDATA("value", financials_wide!$A$3, "adsh", $E107, "tag", "Assets"),"")</f>
        <v>5764697000</v>
      </c>
      <c r="G107">
        <f>IFERROR(GETPIVOTDATA("value", financials_wide!$A$3, "adsh", $E107, "tag", "EarningsPerShareBasic"),"")</f>
        <v>0.78</v>
      </c>
      <c r="H107">
        <f>IFERROR(IFERROR(GETPIVOTDATA("value", financials_wide!$A$3, "adsh", $E107, "tag", "InterestAndDividendIncomeOperating"), GETPIVOTDATA("value", financials_wide!$A$3, "adsh", $E107, "tag", "InterestIncomeOperating")),"")</f>
        <v>256999000</v>
      </c>
      <c r="I107">
        <f>IFERROR(GETPIVOTDATA("value", financials_wide!$A$3, "adsh", $E107, "tag", "Liabilities"),"")</f>
        <v>5056131000</v>
      </c>
      <c r="J107">
        <f t="shared" si="6"/>
        <v>708566000</v>
      </c>
      <c r="K107">
        <f>IFERROR(GETPIVOTDATA("value", financials_wide!$A$3, "adsh", $E107, "tag", "NetIncomeLoss"),"")</f>
        <v>47830000</v>
      </c>
      <c r="L107">
        <f>IFERROR(GETPIVOTDATA("value", financials_wide!$A$3, "adsh", $E107, "tag", "StockholdersEquity"),"")</f>
        <v>708566000</v>
      </c>
      <c r="M107">
        <f t="shared" si="7"/>
        <v>8.135723418848773</v>
      </c>
      <c r="N107" s="3">
        <f t="shared" si="8"/>
        <v>8.2970536005621803E-3</v>
      </c>
      <c r="O107" t="str">
        <f t="shared" si="9"/>
        <v>Mid</v>
      </c>
    </row>
    <row r="108" spans="1:15" x14ac:dyDescent="0.25">
      <c r="A108">
        <v>107</v>
      </c>
      <c r="B108">
        <v>6021</v>
      </c>
      <c r="C108" t="str">
        <v>NEWTEKONE, INC.</v>
      </c>
      <c r="D108">
        <v>1587987</v>
      </c>
      <c r="E108" t="str">
        <v>0001628280-26-016503</v>
      </c>
      <c r="F108">
        <f>IFERROR(GETPIVOTDATA("value", financials_wide!$A$3, "adsh", $E108, "tag", "Assets"),"")</f>
        <v>0</v>
      </c>
      <c r="G108">
        <f>IFERROR(GETPIVOTDATA("value", financials_wide!$A$3, "adsh", $E108, "tag", "EarningsPerShareBasic"),"")</f>
        <v>0</v>
      </c>
      <c r="H108">
        <f>IFERROR(IFERROR(GETPIVOTDATA("value", financials_wide!$A$3, "adsh", $E108, "tag", "InterestAndDividendIncomeOperating"), GETPIVOTDATA("value", financials_wide!$A$3, "adsh", $E108, "tag", "InterestIncomeOperating")),"")</f>
        <v>0</v>
      </c>
      <c r="I108">
        <f>IFERROR(GETPIVOTDATA("value", financials_wide!$A$3, "adsh", $E108, "tag", "Liabilities"),"")</f>
        <v>0</v>
      </c>
      <c r="J108">
        <f t="shared" si="6"/>
        <v>0</v>
      </c>
      <c r="K108">
        <f>IFERROR(GETPIVOTDATA("value", financials_wide!$A$3, "adsh", $E108, "tag", "NetIncomeLoss"),"")</f>
        <v>60512000</v>
      </c>
      <c r="L108">
        <f>IFERROR(GETPIVOTDATA("value", financials_wide!$A$3, "adsh", $E108, "tag", "StockholdersEquity"),"")</f>
        <v>0</v>
      </c>
      <c r="M108" t="e">
        <f t="shared" si="7"/>
        <v>#N/A</v>
      </c>
      <c r="N108" s="3" t="e">
        <f t="shared" si="8"/>
        <v>#N/A</v>
      </c>
      <c r="O108" t="str">
        <f t="shared" si="9"/>
        <v>Small</v>
      </c>
    </row>
    <row r="109" spans="1:15" x14ac:dyDescent="0.25">
      <c r="A109">
        <v>108</v>
      </c>
      <c r="B109">
        <v>6022</v>
      </c>
      <c r="C109" t="str">
        <v>COMMUNITY WEST BANCSHARES</v>
      </c>
      <c r="D109">
        <v>1127371</v>
      </c>
      <c r="E109" t="str">
        <v>0001628280-26-016895</v>
      </c>
      <c r="F109">
        <f>IFERROR(GETPIVOTDATA("value", financials_wide!$A$3, "adsh", $E109, "tag", "Assets"),"")</f>
        <v>3690317000</v>
      </c>
      <c r="G109">
        <f>IFERROR(GETPIVOTDATA("value", financials_wide!$A$3, "adsh", $E109, "tag", "EarningsPerShareBasic"),"")</f>
        <v>2.0099999999999998</v>
      </c>
      <c r="H109">
        <f>IFERROR(IFERROR(GETPIVOTDATA("value", financials_wide!$A$3, "adsh", $E109, "tag", "InterestAndDividendIncomeOperating"), GETPIVOTDATA("value", financials_wide!$A$3, "adsh", $E109, "tag", "InterestIncomeOperating")),"")</f>
        <v>185710000</v>
      </c>
      <c r="I109">
        <f>IFERROR(GETPIVOTDATA("value", financials_wide!$A$3, "adsh", $E109, "tag", "Liabilities"),"")</f>
        <v>3280729000</v>
      </c>
      <c r="J109">
        <f t="shared" si="6"/>
        <v>409588000</v>
      </c>
      <c r="K109">
        <f>IFERROR(GETPIVOTDATA("value", financials_wide!$A$3, "adsh", $E109, "tag", "NetIncomeLoss"),"")</f>
        <v>38168000</v>
      </c>
      <c r="L109">
        <f>IFERROR(GETPIVOTDATA("value", financials_wide!$A$3, "adsh", $E109, "tag", "StockholdersEquity"),"")</f>
        <v>409588000</v>
      </c>
      <c r="M109">
        <f t="shared" si="7"/>
        <v>9.0098269480551192</v>
      </c>
      <c r="N109" s="3">
        <f t="shared" si="8"/>
        <v>1.0342742913413671E-2</v>
      </c>
      <c r="O109" t="str">
        <f t="shared" si="9"/>
        <v>Mid</v>
      </c>
    </row>
    <row r="110" spans="1:15" x14ac:dyDescent="0.25">
      <c r="A110">
        <v>109</v>
      </c>
      <c r="B110">
        <v>6022</v>
      </c>
      <c r="C110" t="str">
        <v>ACNB CORP</v>
      </c>
      <c r="D110">
        <v>715579</v>
      </c>
      <c r="E110" t="str">
        <v>0001628280-26-017229</v>
      </c>
      <c r="F110">
        <f>IFERROR(GETPIVOTDATA("value", financials_wide!$A$3, "adsh", $E110, "tag", "Assets"),"")</f>
        <v>3228126000</v>
      </c>
      <c r="G110">
        <f>IFERROR(GETPIVOTDATA("value", financials_wide!$A$3, "adsh", $E110, "tag", "EarningsPerShareBasic"),"")</f>
        <v>3.61</v>
      </c>
      <c r="H110">
        <f>IFERROR(IFERROR(GETPIVOTDATA("value", financials_wide!$A$3, "adsh", $E110, "tag", "InterestAndDividendIncomeOperating"), GETPIVOTDATA("value", financials_wide!$A$3, "adsh", $E110, "tag", "InterestIncomeOperating")),"")</f>
        <v>163212000</v>
      </c>
      <c r="I110">
        <f>IFERROR(GETPIVOTDATA("value", financials_wide!$A$3, "adsh", $E110, "tag", "Liabilities"),"")</f>
        <v>2808152000</v>
      </c>
      <c r="J110">
        <f t="shared" si="6"/>
        <v>419974000</v>
      </c>
      <c r="K110">
        <f>IFERROR(GETPIVOTDATA("value", financials_wide!$A$3, "adsh", $E110, "tag", "NetIncomeLoss"),"")</f>
        <v>37051000</v>
      </c>
      <c r="L110">
        <f>IFERROR(GETPIVOTDATA("value", financials_wide!$A$3, "adsh", $E110, "tag", "StockholdersEquity"),"")</f>
        <v>419974000</v>
      </c>
      <c r="M110">
        <f t="shared" si="7"/>
        <v>7.6864901160548031</v>
      </c>
      <c r="N110" s="3">
        <f t="shared" si="8"/>
        <v>1.1477556947901042E-2</v>
      </c>
      <c r="O110" t="str">
        <f t="shared" si="9"/>
        <v>Mid</v>
      </c>
    </row>
    <row r="111" spans="1:15" x14ac:dyDescent="0.25">
      <c r="A111">
        <v>110</v>
      </c>
      <c r="B111">
        <v>6022</v>
      </c>
      <c r="C111" t="str">
        <v>ORRSTOWN FINANCIAL SERVICES INC</v>
      </c>
      <c r="D111">
        <v>826154</v>
      </c>
      <c r="E111" t="str">
        <v>0001628280-26-017278</v>
      </c>
      <c r="F111">
        <f>IFERROR(GETPIVOTDATA("value", financials_wide!$A$3, "adsh", $E111, "tag", "Assets"),"")</f>
        <v>5542255000</v>
      </c>
      <c r="G111">
        <f>IFERROR(GETPIVOTDATA("value", financials_wide!$A$3, "adsh", $E111, "tag", "EarningsPerShareBasic"),"")</f>
        <v>4.21</v>
      </c>
      <c r="H111">
        <f>IFERROR(IFERROR(GETPIVOTDATA("value", financials_wide!$A$3, "adsh", $E111, "tag", "InterestAndDividendIncomeOperating"), GETPIVOTDATA("value", financials_wide!$A$3, "adsh", $E111, "tag", "InterestIncomeOperating")),"")</f>
        <v>303734000</v>
      </c>
      <c r="I111">
        <f>IFERROR(GETPIVOTDATA("value", financials_wide!$A$3, "adsh", $E111, "tag", "Liabilities"),"")</f>
        <v>4950720000</v>
      </c>
      <c r="J111">
        <f t="shared" si="6"/>
        <v>591535000</v>
      </c>
      <c r="K111">
        <f>IFERROR(GETPIVOTDATA("value", financials_wide!$A$3, "adsh", $E111, "tag", "NetIncomeLoss"),"")</f>
        <v>80855000</v>
      </c>
      <c r="L111">
        <f>IFERROR(GETPIVOTDATA("value", financials_wide!$A$3, "adsh", $E111, "tag", "StockholdersEquity"),"")</f>
        <v>591535000</v>
      </c>
      <c r="M111">
        <f t="shared" si="7"/>
        <v>9.3692765432307468</v>
      </c>
      <c r="N111" s="3">
        <f t="shared" si="8"/>
        <v>1.4588827110986413E-2</v>
      </c>
      <c r="O111" t="str">
        <f t="shared" si="9"/>
        <v>Mid</v>
      </c>
    </row>
    <row r="112" spans="1:15" x14ac:dyDescent="0.25">
      <c r="A112">
        <v>111</v>
      </c>
      <c r="B112">
        <v>6022</v>
      </c>
      <c r="C112" t="str">
        <v>CHEMUNG FINANCIAL CORP</v>
      </c>
      <c r="D112">
        <v>763563</v>
      </c>
      <c r="E112" t="str">
        <v>0001628280-26-017546</v>
      </c>
      <c r="F112">
        <f>IFERROR(GETPIVOTDATA("value", financials_wide!$A$3, "adsh", $E112, "tag", "Assets"),"")</f>
        <v>2710235000</v>
      </c>
      <c r="G112">
        <f>IFERROR(GETPIVOTDATA("value", financials_wide!$A$3, "adsh", $E112, "tag", "EarningsPerShareBasic"),"")</f>
        <v>3.14</v>
      </c>
      <c r="H112">
        <f>IFERROR(IFERROR(GETPIVOTDATA("value", financials_wide!$A$3, "adsh", $E112, "tag", "InterestAndDividendIncomeOperating"), GETPIVOTDATA("value", financials_wide!$A$3, "adsh", $E112, "tag", "InterestIncomeOperating")),"")</f>
        <v>132835000</v>
      </c>
      <c r="I112">
        <f>IFERROR(GETPIVOTDATA("value", financials_wide!$A$3, "adsh", $E112, "tag", "Liabilities"),"")</f>
        <v>2455526000</v>
      </c>
      <c r="J112">
        <f t="shared" si="6"/>
        <v>254709000</v>
      </c>
      <c r="K112">
        <f>IFERROR(GETPIVOTDATA("value", financials_wide!$A$3, "adsh", $E112, "tag", "NetIncomeLoss"),"")</f>
        <v>15104000</v>
      </c>
      <c r="L112">
        <f>IFERROR(GETPIVOTDATA("value", financials_wide!$A$3, "adsh", $E112, "tag", "StockholdersEquity"),"")</f>
        <v>254709000</v>
      </c>
      <c r="M112">
        <f t="shared" si="7"/>
        <v>10.640515254663164</v>
      </c>
      <c r="N112" s="3">
        <f t="shared" si="8"/>
        <v>5.5729484712580277E-3</v>
      </c>
      <c r="O112" t="str">
        <f t="shared" si="9"/>
        <v>Mid</v>
      </c>
    </row>
    <row r="113" spans="1:15" x14ac:dyDescent="0.25">
      <c r="A113">
        <v>112</v>
      </c>
      <c r="B113">
        <v>6021</v>
      </c>
      <c r="C113" t="str">
        <v>CHAIN BRIDGE BANCORP INC</v>
      </c>
      <c r="D113">
        <v>1392272</v>
      </c>
      <c r="E113" t="str">
        <v>0001628280-26-020177</v>
      </c>
      <c r="F113">
        <f>IFERROR(GETPIVOTDATA("value", financials_wide!$A$3, "adsh", $E113, "tag", "Assets"),"")</f>
        <v>1750399000</v>
      </c>
      <c r="G113">
        <f>IFERROR(GETPIVOTDATA("value", financials_wide!$A$3, "adsh", $E113, "tag", "EarningsPerShareBasic"),"")</f>
        <v>3.08</v>
      </c>
      <c r="H113">
        <f>IFERROR(IFERROR(GETPIVOTDATA("value", financials_wide!$A$3, "adsh", $E113, "tag", "InterestAndDividendIncomeOperating"), GETPIVOTDATA("value", financials_wide!$A$3, "adsh", $E113, "tag", "InterestIncomeOperating")),"")</f>
        <v>55843000</v>
      </c>
      <c r="I113">
        <f>IFERROR(GETPIVOTDATA("value", financials_wide!$A$3, "adsh", $E113, "tag", "Liabilities"),"")</f>
        <v>1581180000</v>
      </c>
      <c r="J113">
        <f t="shared" si="6"/>
        <v>169219000</v>
      </c>
      <c r="K113">
        <f>IFERROR(GETPIVOTDATA("value", financials_wide!$A$3, "adsh", $E113, "tag", "NetIncomeLoss"),"")</f>
        <v>20237000</v>
      </c>
      <c r="L113">
        <f>IFERROR(GETPIVOTDATA("value", financials_wide!$A$3, "adsh", $E113, "tag", "StockholdersEquity"),"")</f>
        <v>169219000</v>
      </c>
      <c r="M113">
        <f t="shared" si="7"/>
        <v>10.343986195403589</v>
      </c>
      <c r="N113" s="3">
        <f t="shared" si="8"/>
        <v>1.1561364009005946E-2</v>
      </c>
      <c r="O113" t="str">
        <f t="shared" si="9"/>
        <v>Small</v>
      </c>
    </row>
    <row r="114" spans="1:15" x14ac:dyDescent="0.25">
      <c r="A114">
        <v>113</v>
      </c>
      <c r="B114">
        <v>6022</v>
      </c>
      <c r="C114" t="str">
        <v>RICHMOND MUTUAL BANCORPORATION, INC.</v>
      </c>
      <c r="D114">
        <v>1767837</v>
      </c>
      <c r="E114" t="str">
        <v>0001628280-26-020414</v>
      </c>
      <c r="F114">
        <f>IFERROR(GETPIVOTDATA("value", financials_wide!$A$3, "adsh", $E114, "tag", "Assets"),"")</f>
        <v>1525790540</v>
      </c>
      <c r="G114">
        <f>IFERROR(GETPIVOTDATA("value", financials_wide!$A$3, "adsh", $E114, "tag", "EarningsPerShareBasic"),"")</f>
        <v>1.2</v>
      </c>
      <c r="H114">
        <f>IFERROR(IFERROR(GETPIVOTDATA("value", financials_wide!$A$3, "adsh", $E114, "tag", "InterestAndDividendIncomeOperating"), GETPIVOTDATA("value", financials_wide!$A$3, "adsh", $E114, "tag", "InterestIncomeOperating")),"")</f>
        <v>85907554</v>
      </c>
      <c r="I114">
        <f>IFERROR(GETPIVOTDATA("value", financials_wide!$A$3, "adsh", $E114, "tag", "Liabilities"),"")</f>
        <v>1380009440</v>
      </c>
      <c r="J114">
        <f t="shared" si="6"/>
        <v>145781100</v>
      </c>
      <c r="K114">
        <f>IFERROR(GETPIVOTDATA("value", financials_wide!$A$3, "adsh", $E114, "tag", "NetIncomeLoss"),"")</f>
        <v>11576767</v>
      </c>
      <c r="L114">
        <f>IFERROR(GETPIVOTDATA("value", financials_wide!$A$3, "adsh", $E114, "tag", "StockholdersEquity"),"")</f>
        <v>145781100</v>
      </c>
      <c r="M114">
        <f t="shared" si="7"/>
        <v>10.466312436934555</v>
      </c>
      <c r="N114" s="3">
        <f t="shared" si="8"/>
        <v>7.5873894197823512E-3</v>
      </c>
      <c r="O114" t="str">
        <f t="shared" si="9"/>
        <v>Small</v>
      </c>
    </row>
    <row r="115" spans="1:15" x14ac:dyDescent="0.25">
      <c r="A115">
        <v>114</v>
      </c>
      <c r="B115">
        <v>6022</v>
      </c>
      <c r="C115" t="str">
        <v>CENTRAL BANCOMPANY, INC.</v>
      </c>
      <c r="D115">
        <v>2065601</v>
      </c>
      <c r="E115" t="str">
        <v>0001628280-26-021067</v>
      </c>
      <c r="F115">
        <f>IFERROR(GETPIVOTDATA("value", financials_wide!$A$3, "adsh", $E115, "tag", "Assets"),"")</f>
        <v>20751978000</v>
      </c>
      <c r="G115">
        <f>IFERROR(GETPIVOTDATA("value", financials_wide!$A$3, "adsh", $E115, "tag", "EarningsPerShareBasic"),"")</f>
        <v>1.75</v>
      </c>
      <c r="H115">
        <f>IFERROR(IFERROR(GETPIVOTDATA("value", financials_wide!$A$3, "adsh", $E115, "tag", "InterestAndDividendIncomeOperating"), GETPIVOTDATA("value", financials_wide!$A$3, "adsh", $E115, "tag", "InterestIncomeOperating")),"")</f>
        <v>989948000</v>
      </c>
      <c r="I115">
        <f>IFERROR(GETPIVOTDATA("value", financials_wide!$A$3, "adsh", $E115, "tag", "Liabilities"),"")</f>
        <v>16968001000</v>
      </c>
      <c r="J115">
        <f t="shared" si="6"/>
        <v>3783977000</v>
      </c>
      <c r="K115">
        <f>IFERROR(GETPIVOTDATA("value", financials_wide!$A$3, "adsh", $E115, "tag", "NetIncomeLoss"),"")</f>
        <v>390853000</v>
      </c>
      <c r="L115">
        <f>IFERROR(GETPIVOTDATA("value", financials_wide!$A$3, "adsh", $E115, "tag", "StockholdersEquity"),"")</f>
        <v>3783977000</v>
      </c>
      <c r="M115">
        <f t="shared" si="7"/>
        <v>5.4841712832821132</v>
      </c>
      <c r="N115" s="3">
        <f t="shared" si="8"/>
        <v>1.8834493752836478E-2</v>
      </c>
      <c r="O115" t="str">
        <f t="shared" si="9"/>
        <v>Large</v>
      </c>
    </row>
    <row r="116" spans="1:15" x14ac:dyDescent="0.25">
      <c r="A116">
        <v>115</v>
      </c>
      <c r="B116">
        <v>6022</v>
      </c>
      <c r="C116" t="str">
        <v>BAYFIRST FINANCIAL CORP.</v>
      </c>
      <c r="D116">
        <v>1649739</v>
      </c>
      <c r="E116" t="str">
        <v>0001649739-26-000014</v>
      </c>
      <c r="F116">
        <f>IFERROR(GETPIVOTDATA("value", financials_wide!$A$3, "adsh", $E116, "tag", "Assets"),"")</f>
        <v>1300258000</v>
      </c>
      <c r="G116">
        <f>IFERROR(GETPIVOTDATA("value", financials_wide!$A$3, "adsh", $E116, "tag", "EarningsPerShareBasic"),"")</f>
        <v>-5.93</v>
      </c>
      <c r="H116">
        <f>IFERROR(IFERROR(GETPIVOTDATA("value", financials_wide!$A$3, "adsh", $E116, "tag", "InterestAndDividendIncomeOperating"), GETPIVOTDATA("value", financials_wide!$A$3, "adsh", $E116, "tag", "InterestIncomeOperating")),"")</f>
        <v>0</v>
      </c>
      <c r="I116">
        <f>IFERROR(GETPIVOTDATA("value", financials_wide!$A$3, "adsh", $E116, "tag", "Liabilities"),"")</f>
        <v>1212689000</v>
      </c>
      <c r="J116">
        <f t="shared" si="6"/>
        <v>87569000</v>
      </c>
      <c r="K116">
        <f>IFERROR(GETPIVOTDATA("value", financials_wide!$A$3, "adsh", $E116, "tag", "NetIncomeLoss"),"")</f>
        <v>-22937000</v>
      </c>
      <c r="L116">
        <f>IFERROR(GETPIVOTDATA("value", financials_wide!$A$3, "adsh", $E116, "tag", "StockholdersEquity"),"")</f>
        <v>87569000</v>
      </c>
      <c r="M116">
        <f t="shared" si="7"/>
        <v>14.848382418435747</v>
      </c>
      <c r="N116" s="3">
        <f t="shared" si="8"/>
        <v>-1.7640345223794048E-2</v>
      </c>
      <c r="O116" t="str">
        <f t="shared" si="9"/>
        <v>Small</v>
      </c>
    </row>
    <row r="117" spans="1:15" x14ac:dyDescent="0.25">
      <c r="A117">
        <v>116</v>
      </c>
      <c r="B117">
        <v>6022</v>
      </c>
      <c r="C117" t="str">
        <v>PEOPLES BANCORP OF NORTH CAROLINA INC</v>
      </c>
      <c r="D117">
        <v>1093672</v>
      </c>
      <c r="E117" t="str">
        <v>0001654954-26-002154</v>
      </c>
      <c r="F117">
        <f>IFERROR(GETPIVOTDATA("value", financials_wide!$A$3, "adsh", $E117, "tag", "Assets"),"")</f>
        <v>1702148000</v>
      </c>
      <c r="G117">
        <f>IFERROR(GETPIVOTDATA("value", financials_wide!$A$3, "adsh", $E117, "tag", "EarningsPerShareBasic"),"")</f>
        <v>3.74</v>
      </c>
      <c r="H117">
        <f>IFERROR(IFERROR(GETPIVOTDATA("value", financials_wide!$A$3, "adsh", $E117, "tag", "InterestAndDividendIncomeOperating"), GETPIVOTDATA("value", financials_wide!$A$3, "adsh", $E117, "tag", "InterestIncomeOperating")),"")</f>
        <v>83618000</v>
      </c>
      <c r="I117">
        <f>IFERROR(GETPIVOTDATA("value", financials_wide!$A$3, "adsh", $E117, "tag", "Liabilities"),"")</f>
        <v>1545030000</v>
      </c>
      <c r="J117">
        <f t="shared" si="6"/>
        <v>157118000</v>
      </c>
      <c r="K117">
        <f>IFERROR(GETPIVOTDATA("value", financials_wide!$A$3, "adsh", $E117, "tag", "NetIncomeLoss"),"")</f>
        <v>19830000</v>
      </c>
      <c r="L117">
        <f>IFERROR(GETPIVOTDATA("value", financials_wide!$A$3, "adsh", $E117, "tag", "StockholdersEquity"),"")</f>
        <v>157118000</v>
      </c>
      <c r="M117">
        <f t="shared" si="7"/>
        <v>10.833564582033885</v>
      </c>
      <c r="N117" s="3">
        <f t="shared" si="8"/>
        <v>1.1649985782669897E-2</v>
      </c>
      <c r="O117" t="str">
        <f t="shared" si="9"/>
        <v>Small</v>
      </c>
    </row>
    <row r="118" spans="1:15" x14ac:dyDescent="0.25">
      <c r="A118">
        <v>117</v>
      </c>
      <c r="B118">
        <v>6021</v>
      </c>
      <c r="C118" t="str">
        <v>COMMUNITY BANCORP /VT</v>
      </c>
      <c r="D118">
        <v>718413</v>
      </c>
      <c r="E118" t="str">
        <v>0001654954-26-002870</v>
      </c>
      <c r="F118">
        <f>IFERROR(GETPIVOTDATA("value", financials_wide!$A$3, "adsh", $E118, "tag", "Assets"),"")</f>
        <v>1287558946</v>
      </c>
      <c r="G118">
        <f>IFERROR(GETPIVOTDATA("value", financials_wide!$A$3, "adsh", $E118, "tag", "EarningsPerShareBasic"),"")</f>
        <v>0</v>
      </c>
      <c r="H118">
        <f>IFERROR(IFERROR(GETPIVOTDATA("value", financials_wide!$A$3, "adsh", $E118, "tag", "InterestAndDividendIncomeOperating"), GETPIVOTDATA("value", financials_wide!$A$3, "adsh", $E118, "tag", "InterestIncomeOperating")),"")</f>
        <v>60879859</v>
      </c>
      <c r="I118">
        <f>IFERROR(GETPIVOTDATA("value", financials_wide!$A$3, "adsh", $E118, "tag", "Liabilities"),"")</f>
        <v>1173871968</v>
      </c>
      <c r="J118">
        <f t="shared" si="6"/>
        <v>113686978</v>
      </c>
      <c r="K118">
        <f>IFERROR(GETPIVOTDATA("value", financials_wide!$A$3, "adsh", $E118, "tag", "NetIncomeLoss"),"")</f>
        <v>16967981</v>
      </c>
      <c r="L118">
        <f>IFERROR(GETPIVOTDATA("value", financials_wide!$A$3, "adsh", $E118, "tag", "StockholdersEquity"),"")</f>
        <v>113686978</v>
      </c>
      <c r="M118">
        <f t="shared" si="7"/>
        <v>11.32547428606995</v>
      </c>
      <c r="N118" s="3">
        <f t="shared" si="8"/>
        <v>1.3178411017774094E-2</v>
      </c>
      <c r="O118" t="str">
        <f t="shared" si="9"/>
        <v>Small</v>
      </c>
    </row>
    <row r="119" spans="1:15" x14ac:dyDescent="0.25">
      <c r="A119">
        <v>118</v>
      </c>
      <c r="B119">
        <v>6022</v>
      </c>
      <c r="C119" t="str">
        <v>F&amp;M BANK CORP</v>
      </c>
      <c r="D119">
        <v>740806</v>
      </c>
      <c r="E119" t="str">
        <v>0001654954-26-002891</v>
      </c>
      <c r="F119">
        <f>IFERROR(GETPIVOTDATA("value", financials_wide!$A$3, "adsh", $E119, "tag", "Assets"),"")</f>
        <v>1373757000</v>
      </c>
      <c r="G119">
        <f>IFERROR(GETPIVOTDATA("value", financials_wide!$A$3, "adsh", $E119, "tag", "EarningsPerShareBasic"),"")</f>
        <v>0</v>
      </c>
      <c r="H119">
        <f>IFERROR(IFERROR(GETPIVOTDATA("value", financials_wide!$A$3, "adsh", $E119, "tag", "InterestAndDividendIncomeOperating"), GETPIVOTDATA("value", financials_wide!$A$3, "adsh", $E119, "tag", "InterestIncomeOperating")),"")</f>
        <v>67750000</v>
      </c>
      <c r="I119">
        <f>IFERROR(GETPIVOTDATA("value", financials_wide!$A$3, "adsh", $E119, "tag", "Liabilities"),"")</f>
        <v>1268969000</v>
      </c>
      <c r="J119">
        <f t="shared" si="6"/>
        <v>104788000</v>
      </c>
      <c r="K119">
        <f>IFERROR(GETPIVOTDATA("value", financials_wide!$A$3, "adsh", $E119, "tag", "NetIncomeLoss"),"")</f>
        <v>11229000</v>
      </c>
      <c r="L119">
        <f>IFERROR(GETPIVOTDATA("value", financials_wide!$A$3, "adsh", $E119, "tag", "StockholdersEquity"),"")</f>
        <v>104788000</v>
      </c>
      <c r="M119">
        <f t="shared" si="7"/>
        <v>13.109869450700462</v>
      </c>
      <c r="N119" s="3">
        <f t="shared" si="8"/>
        <v>8.1739346915065767E-3</v>
      </c>
      <c r="O119" t="str">
        <f t="shared" si="9"/>
        <v>Small</v>
      </c>
    </row>
    <row r="120" spans="1:15" x14ac:dyDescent="0.25">
      <c r="A120">
        <v>119</v>
      </c>
      <c r="B120">
        <v>6022</v>
      </c>
      <c r="C120" t="str">
        <v>FVCBANKCORP, INC.</v>
      </c>
      <c r="D120">
        <v>1675644</v>
      </c>
      <c r="E120" t="str">
        <v>0001675644-26-000017</v>
      </c>
      <c r="F120">
        <f>IFERROR(GETPIVOTDATA("value", financials_wide!$A$3, "adsh", $E120, "tag", "Assets"),"")</f>
        <v>2292256000</v>
      </c>
      <c r="G120">
        <f>IFERROR(GETPIVOTDATA("value", financials_wide!$A$3, "adsh", $E120, "tag", "EarningsPerShareBasic"),"")</f>
        <v>1.22</v>
      </c>
      <c r="H120">
        <f>IFERROR(IFERROR(GETPIVOTDATA("value", financials_wide!$A$3, "adsh", $E120, "tag", "InterestAndDividendIncomeOperating"), GETPIVOTDATA("value", financials_wide!$A$3, "adsh", $E120, "tag", "InterestIncomeOperating")),"")</f>
        <v>118397000</v>
      </c>
      <c r="I120">
        <f>IFERROR(GETPIVOTDATA("value", financials_wide!$A$3, "adsh", $E120, "tag", "Liabilities"),"")</f>
        <v>2038656000</v>
      </c>
      <c r="J120">
        <f t="shared" si="6"/>
        <v>253600000</v>
      </c>
      <c r="K120">
        <f>IFERROR(GETPIVOTDATA("value", financials_wide!$A$3, "adsh", $E120, "tag", "NetIncomeLoss"),"")</f>
        <v>22057000</v>
      </c>
      <c r="L120">
        <f>IFERROR(GETPIVOTDATA("value", financials_wide!$A$3, "adsh", $E120, "tag", "StockholdersEquity"),"")</f>
        <v>253600000</v>
      </c>
      <c r="M120">
        <f t="shared" si="7"/>
        <v>9.0388643533123023</v>
      </c>
      <c r="N120" s="3">
        <f t="shared" si="8"/>
        <v>9.6223981963620125E-3</v>
      </c>
      <c r="O120" t="str">
        <f t="shared" si="9"/>
        <v>Small</v>
      </c>
    </row>
    <row r="121" spans="1:15" x14ac:dyDescent="0.25">
      <c r="A121">
        <v>120</v>
      </c>
      <c r="B121">
        <v>6021</v>
      </c>
      <c r="C121" t="str">
        <v>FIRSTSUN CAPITAL BANCORP</v>
      </c>
      <c r="D121">
        <v>1709442</v>
      </c>
      <c r="E121" t="str">
        <v>0001709442-26-000017</v>
      </c>
      <c r="F121">
        <f>IFERROR(GETPIVOTDATA("value", financials_wide!$A$3, "adsh", $E121, "tag", "Assets"),"")</f>
        <v>8485162000</v>
      </c>
      <c r="G121">
        <f>IFERROR(GETPIVOTDATA("value", financials_wide!$A$3, "adsh", $E121, "tag", "EarningsPerShareBasic"),"")</f>
        <v>3.52</v>
      </c>
      <c r="H121">
        <f>IFERROR(IFERROR(GETPIVOTDATA("value", financials_wide!$A$3, "adsh", $E121, "tag", "InterestAndDividendIncomeOperating"), GETPIVOTDATA("value", financials_wide!$A$3, "adsh", $E121, "tag", "InterestIncomeOperating")),"")</f>
        <v>467769000</v>
      </c>
      <c r="I121">
        <f>IFERROR(GETPIVOTDATA("value", financials_wide!$A$3, "adsh", $E121, "tag", "Liabilities"),"")</f>
        <v>7331806000</v>
      </c>
      <c r="J121">
        <f t="shared" si="6"/>
        <v>1153356000</v>
      </c>
      <c r="K121">
        <f>IFERROR(GETPIVOTDATA("value", financials_wide!$A$3, "adsh", $E121, "tag", "NetIncomeLoss"),"")</f>
        <v>97936000</v>
      </c>
      <c r="L121">
        <f>IFERROR(GETPIVOTDATA("value", financials_wide!$A$3, "adsh", $E121, "tag", "StockholdersEquity"),"")</f>
        <v>1153356000</v>
      </c>
      <c r="M121">
        <f t="shared" si="7"/>
        <v>7.3569322915040978</v>
      </c>
      <c r="N121" s="3">
        <f t="shared" si="8"/>
        <v>1.1542030664824078E-2</v>
      </c>
      <c r="O121" t="str">
        <f t="shared" si="9"/>
        <v>Mid</v>
      </c>
    </row>
    <row r="122" spans="1:15" x14ac:dyDescent="0.25">
      <c r="A122">
        <v>121</v>
      </c>
      <c r="B122">
        <v>6022</v>
      </c>
      <c r="C122" t="str">
        <v>OP BANCORP</v>
      </c>
      <c r="D122">
        <v>1722010</v>
      </c>
      <c r="E122" t="str">
        <v>0001722010-26-000002</v>
      </c>
      <c r="F122">
        <f>IFERROR(GETPIVOTDATA("value", financials_wide!$A$3, "adsh", $E122, "tag", "Assets"),"")</f>
        <v>2650226000</v>
      </c>
      <c r="G122">
        <f>IFERROR(GETPIVOTDATA("value", financials_wide!$A$3, "adsh", $E122, "tag", "EarningsPerShareBasic"),"")</f>
        <v>1.72</v>
      </c>
      <c r="H122">
        <f>IFERROR(IFERROR(GETPIVOTDATA("value", financials_wide!$A$3, "adsh", $E122, "tag", "InterestAndDividendIncomeOperating"), GETPIVOTDATA("value", financials_wide!$A$3, "adsh", $E122, "tag", "InterestIncomeOperating")),"")</f>
        <v>150328000</v>
      </c>
      <c r="I122">
        <f>IFERROR(GETPIVOTDATA("value", financials_wide!$A$3, "adsh", $E122, "tag", "Liabilities"),"")</f>
        <v>2422333000</v>
      </c>
      <c r="J122">
        <f t="shared" si="6"/>
        <v>227893000</v>
      </c>
      <c r="K122">
        <f>IFERROR(GETPIVOTDATA("value", financials_wide!$A$3, "adsh", $E122, "tag", "NetIncomeLoss"),"")</f>
        <v>25635000</v>
      </c>
      <c r="L122">
        <f>IFERROR(GETPIVOTDATA("value", financials_wide!$A$3, "adsh", $E122, "tag", "StockholdersEquity"),"")</f>
        <v>227893000</v>
      </c>
      <c r="M122">
        <f t="shared" si="7"/>
        <v>11.629255834975186</v>
      </c>
      <c r="N122" s="3">
        <f t="shared" si="8"/>
        <v>9.6727599834882001E-3</v>
      </c>
      <c r="O122" t="str">
        <f t="shared" si="9"/>
        <v>Small</v>
      </c>
    </row>
    <row r="123" spans="1:15" x14ac:dyDescent="0.25">
      <c r="A123">
        <v>122</v>
      </c>
      <c r="B123">
        <v>6022</v>
      </c>
      <c r="C123" t="str">
        <v>BAYCOM CORP</v>
      </c>
      <c r="D123">
        <v>1730984</v>
      </c>
      <c r="E123" t="str">
        <v>0001730984-26-000016</v>
      </c>
      <c r="F123">
        <f>IFERROR(GETPIVOTDATA("value", financials_wide!$A$3, "adsh", $E123, "tag", "Assets"),"")</f>
        <v>2593677000</v>
      </c>
      <c r="G123">
        <f>IFERROR(GETPIVOTDATA("value", financials_wide!$A$3, "adsh", $E123, "tag", "EarningsPerShareBasic"),"")</f>
        <v>2.1800000000000002</v>
      </c>
      <c r="H123">
        <f>IFERROR(IFERROR(GETPIVOTDATA("value", financials_wide!$A$3, "adsh", $E123, "tag", "InterestAndDividendIncomeOperating"), GETPIVOTDATA("value", financials_wide!$A$3, "adsh", $E123, "tag", "InterestIncomeOperating")),"")</f>
        <v>135389000</v>
      </c>
      <c r="I123">
        <f>IFERROR(GETPIVOTDATA("value", financials_wide!$A$3, "adsh", $E123, "tag", "Liabilities"),"")</f>
        <v>2255123000</v>
      </c>
      <c r="J123">
        <f t="shared" si="6"/>
        <v>338554000</v>
      </c>
      <c r="K123">
        <f>IFERROR(GETPIVOTDATA("value", financials_wide!$A$3, "adsh", $E123, "tag", "NetIncomeLoss"),"")</f>
        <v>23931000</v>
      </c>
      <c r="L123">
        <f>IFERROR(GETPIVOTDATA("value", financials_wide!$A$3, "adsh", $E123, "tag", "StockholdersEquity"),"")</f>
        <v>338554000</v>
      </c>
      <c r="M123">
        <f t="shared" si="7"/>
        <v>7.6610437330529253</v>
      </c>
      <c r="N123" s="3">
        <f t="shared" si="8"/>
        <v>9.2266693192714442E-3</v>
      </c>
      <c r="O123" t="str">
        <f t="shared" si="9"/>
        <v>Small</v>
      </c>
    </row>
    <row r="124" spans="1:15" x14ac:dyDescent="0.25">
      <c r="A124">
        <v>123</v>
      </c>
      <c r="B124">
        <v>6022</v>
      </c>
      <c r="C124" t="str">
        <v>METROCITY BANKSHARES, INC.</v>
      </c>
      <c r="D124">
        <v>1747068</v>
      </c>
      <c r="E124" t="str">
        <v>0001747068-26-000010</v>
      </c>
      <c r="F124">
        <f>IFERROR(GETPIVOTDATA("value", financials_wide!$A$3, "adsh", $E124, "tag", "Assets"),"")</f>
        <v>4768400000</v>
      </c>
      <c r="G124">
        <f>IFERROR(GETPIVOTDATA("value", financials_wide!$A$3, "adsh", $E124, "tag", "EarningsPerShareBasic"),"")</f>
        <v>2.66</v>
      </c>
      <c r="H124">
        <f>IFERROR(IFERROR(GETPIVOTDATA("value", financials_wide!$A$3, "adsh", $E124, "tag", "InterestAndDividendIncomeOperating"), GETPIVOTDATA("value", financials_wide!$A$3, "adsh", $E124, "tag", "InterestIncomeOperating")),"")</f>
        <v>0</v>
      </c>
      <c r="I124">
        <f>IFERROR(GETPIVOTDATA("value", financials_wide!$A$3, "adsh", $E124, "tag", "Liabilities"),"")</f>
        <v>4224216000</v>
      </c>
      <c r="J124">
        <f t="shared" si="6"/>
        <v>544184000</v>
      </c>
      <c r="K124">
        <f>IFERROR(GETPIVOTDATA("value", financials_wide!$A$3, "adsh", $E124, "tag", "NetIncomeLoss"),"")</f>
        <v>68532000</v>
      </c>
      <c r="L124">
        <f>IFERROR(GETPIVOTDATA("value", financials_wide!$A$3, "adsh", $E124, "tag", "StockholdersEquity"),"")</f>
        <v>544184000</v>
      </c>
      <c r="M124">
        <f t="shared" si="7"/>
        <v>8.7624773973508958</v>
      </c>
      <c r="N124" s="3">
        <f t="shared" si="8"/>
        <v>1.4372116433185136E-2</v>
      </c>
      <c r="O124" t="str">
        <f t="shared" si="9"/>
        <v>Mid</v>
      </c>
    </row>
    <row r="125" spans="1:15" x14ac:dyDescent="0.25">
      <c r="A125">
        <v>124</v>
      </c>
      <c r="B125">
        <v>6021</v>
      </c>
      <c r="C125" t="str">
        <v>MERIDIAN CORP</v>
      </c>
      <c r="D125">
        <v>1750735</v>
      </c>
      <c r="E125" t="str">
        <v>0001750735-26-000009</v>
      </c>
      <c r="F125">
        <f>IFERROR(GETPIVOTDATA("value", financials_wide!$A$3, "adsh", $E125, "tag", "Assets"),"")</f>
        <v>2561995000</v>
      </c>
      <c r="G125">
        <f>IFERROR(GETPIVOTDATA("value", financials_wide!$A$3, "adsh", $E125, "tag", "EarningsPerShareBasic"),"")</f>
        <v>1.93</v>
      </c>
      <c r="H125">
        <f>IFERROR(IFERROR(GETPIVOTDATA("value", financials_wide!$A$3, "adsh", $E125, "tag", "InterestAndDividendIncomeOperating"), GETPIVOTDATA("value", financials_wide!$A$3, "adsh", $E125, "tag", "InterestIncomeOperating")),"")</f>
        <v>166314000</v>
      </c>
      <c r="I125">
        <f>IFERROR(GETPIVOTDATA("value", financials_wide!$A$3, "adsh", $E125, "tag", "Liabilities"),"")</f>
        <v>2362279000</v>
      </c>
      <c r="J125">
        <f t="shared" si="6"/>
        <v>199716000</v>
      </c>
      <c r="K125">
        <f>IFERROR(GETPIVOTDATA("value", financials_wide!$A$3, "adsh", $E125, "tag", "NetIncomeLoss"),"")</f>
        <v>21836000</v>
      </c>
      <c r="L125">
        <f>IFERROR(GETPIVOTDATA("value", financials_wide!$A$3, "adsh", $E125, "tag", "StockholdersEquity"),"")</f>
        <v>199716000</v>
      </c>
      <c r="M125">
        <f t="shared" si="7"/>
        <v>12.828191031264396</v>
      </c>
      <c r="N125" s="3">
        <f t="shared" si="8"/>
        <v>8.5230455172629147E-3</v>
      </c>
      <c r="O125" t="str">
        <f t="shared" si="9"/>
        <v>Small</v>
      </c>
    </row>
    <row r="126" spans="1:15" x14ac:dyDescent="0.25">
      <c r="A126">
        <v>125</v>
      </c>
      <c r="B126">
        <v>6021</v>
      </c>
      <c r="C126" t="str">
        <v>CALIFORNIA BANCORP  CA</v>
      </c>
      <c r="D126">
        <v>1795815</v>
      </c>
      <c r="E126" t="str">
        <v>0001795815-26-000005</v>
      </c>
      <c r="F126">
        <f>IFERROR(GETPIVOTDATA("value", financials_wide!$A$3, "adsh", $E126, "tag", "Assets"),"")</f>
        <v>4033386000</v>
      </c>
      <c r="G126">
        <f>IFERROR(GETPIVOTDATA("value", financials_wide!$A$3, "adsh", $E126, "tag", "EarningsPerShareBasic"),"")</f>
        <v>1.95</v>
      </c>
      <c r="H126">
        <f>IFERROR(IFERROR(GETPIVOTDATA("value", financials_wide!$A$3, "adsh", $E126, "tag", "InterestAndDividendIncomeOperating"), GETPIVOTDATA("value", financials_wide!$A$3, "adsh", $E126, "tag", "InterestIncomeOperating")),"")</f>
        <v>225980000</v>
      </c>
      <c r="I126">
        <f>IFERROR(GETPIVOTDATA("value", financials_wide!$A$3, "adsh", $E126, "tag", "Liabilities"),"")</f>
        <v>3456800000</v>
      </c>
      <c r="J126">
        <f t="shared" si="6"/>
        <v>576586000</v>
      </c>
      <c r="K126">
        <f>IFERROR(GETPIVOTDATA("value", financials_wide!$A$3, "adsh", $E126, "tag", "NetIncomeLoss"),"")</f>
        <v>63058000</v>
      </c>
      <c r="L126">
        <f>IFERROR(GETPIVOTDATA("value", financials_wide!$A$3, "adsh", $E126, "tag", "StockholdersEquity"),"")</f>
        <v>576586000</v>
      </c>
      <c r="M126">
        <f t="shared" si="7"/>
        <v>6.9952895144869975</v>
      </c>
      <c r="N126" s="3">
        <f t="shared" si="8"/>
        <v>1.5634010729446673E-2</v>
      </c>
      <c r="O126" t="str">
        <f t="shared" si="9"/>
        <v>Mid</v>
      </c>
    </row>
    <row r="127" spans="1:15" x14ac:dyDescent="0.25">
      <c r="A127">
        <v>126</v>
      </c>
      <c r="B127">
        <v>6022</v>
      </c>
      <c r="C127" t="str">
        <v>AMALGAMATED FINANCIAL CORP.</v>
      </c>
      <c r="D127">
        <v>1823608</v>
      </c>
      <c r="E127" t="str">
        <v>0001823608-26-000048</v>
      </c>
      <c r="F127">
        <f>IFERROR(GETPIVOTDATA("value", financials_wide!$A$3, "adsh", $E127, "tag", "Assets"),"")</f>
        <v>8869836000</v>
      </c>
      <c r="G127">
        <f>IFERROR(GETPIVOTDATA("value", financials_wide!$A$3, "adsh", $E127, "tag", "EarningsPerShareBasic"),"")</f>
        <v>3.44</v>
      </c>
      <c r="H127">
        <f>IFERROR(IFERROR(GETPIVOTDATA("value", financials_wide!$A$3, "adsh", $E127, "tag", "InterestAndDividendIncomeOperating"), GETPIVOTDATA("value", financials_wide!$A$3, "adsh", $E127, "tag", "InterestIncomeOperating")),"")</f>
        <v>422229000</v>
      </c>
      <c r="I127">
        <f>IFERROR(GETPIVOTDATA("value", financials_wide!$A$3, "adsh", $E127, "tag", "Liabilities"),"")</f>
        <v>8075372000</v>
      </c>
      <c r="J127">
        <f t="shared" si="6"/>
        <v>794464000</v>
      </c>
      <c r="K127">
        <f>IFERROR(GETPIVOTDATA("value", financials_wide!$A$3, "adsh", $E127, "tag", "NetIncomeLoss"),"")</f>
        <v>104447000</v>
      </c>
      <c r="L127">
        <f>IFERROR(GETPIVOTDATA("value", financials_wide!$A$3, "adsh", $E127, "tag", "StockholdersEquity"),"")</f>
        <v>0</v>
      </c>
      <c r="M127" t="e">
        <f t="shared" si="7"/>
        <v>#N/A</v>
      </c>
      <c r="N127" s="3">
        <f t="shared" si="8"/>
        <v>1.1775527754966382E-2</v>
      </c>
      <c r="O127" t="str">
        <f t="shared" si="9"/>
        <v>Mid</v>
      </c>
    </row>
    <row r="128" spans="1:15" x14ac:dyDescent="0.25">
      <c r="A128">
        <v>127</v>
      </c>
      <c r="B128">
        <v>6021</v>
      </c>
      <c r="C128" t="str">
        <v>CARTER BANKSHARES, INC.</v>
      </c>
      <c r="D128">
        <v>1829576</v>
      </c>
      <c r="E128" t="str">
        <v>0001829576-26-000018</v>
      </c>
      <c r="F128">
        <f>IFERROR(GETPIVOTDATA("value", financials_wide!$A$3, "adsh", $E128, "tag", "Assets"),"")</f>
        <v>4851922000</v>
      </c>
      <c r="G128">
        <f>IFERROR(GETPIVOTDATA("value", financials_wide!$A$3, "adsh", $E128, "tag", "EarningsPerShareBasic"),"")</f>
        <v>1.38</v>
      </c>
      <c r="H128">
        <f>IFERROR(IFERROR(GETPIVOTDATA("value", financials_wide!$A$3, "adsh", $E128, "tag", "InterestAndDividendIncomeOperating"), GETPIVOTDATA("value", financials_wide!$A$3, "adsh", $E128, "tag", "InterestIncomeOperating")),"")</f>
        <v>232222000</v>
      </c>
      <c r="I128">
        <f>IFERROR(GETPIVOTDATA("value", financials_wide!$A$3, "adsh", $E128, "tag", "Liabilities"),"")</f>
        <v>4432225000</v>
      </c>
      <c r="J128">
        <f t="shared" si="6"/>
        <v>419697000</v>
      </c>
      <c r="K128">
        <f>IFERROR(GETPIVOTDATA("value", financials_wide!$A$3, "adsh", $E128, "tag", "NetIncomeLoss"),"")</f>
        <v>31362000</v>
      </c>
      <c r="L128">
        <f>IFERROR(GETPIVOTDATA("value", financials_wide!$A$3, "adsh", $E128, "tag", "StockholdersEquity"),"")</f>
        <v>419697000</v>
      </c>
      <c r="M128">
        <f t="shared" si="7"/>
        <v>11.560535338589506</v>
      </c>
      <c r="N128" s="3">
        <f t="shared" si="8"/>
        <v>6.4638302099662773E-3</v>
      </c>
      <c r="O128" t="str">
        <f t="shared" si="9"/>
        <v>Mid</v>
      </c>
    </row>
    <row r="129" spans="1:15" x14ac:dyDescent="0.25">
      <c r="A129">
        <v>128</v>
      </c>
      <c r="B129">
        <v>6022</v>
      </c>
      <c r="C129" t="str">
        <v>FINWISE BANCORP</v>
      </c>
      <c r="D129">
        <v>1856365</v>
      </c>
      <c r="E129" t="str">
        <v>0001856365-26-000006</v>
      </c>
      <c r="F129">
        <f>IFERROR(GETPIVOTDATA("value", financials_wide!$A$3, "adsh", $E129, "tag", "Assets"),"")</f>
        <v>977135000</v>
      </c>
      <c r="G129">
        <f>IFERROR(GETPIVOTDATA("value", financials_wide!$A$3, "adsh", $E129, "tag", "EarningsPerShareBasic"),"")</f>
        <v>1.2</v>
      </c>
      <c r="H129">
        <f>IFERROR(IFERROR(GETPIVOTDATA("value", financials_wide!$A$3, "adsh", $E129, "tag", "InterestAndDividendIncomeOperating"), GETPIVOTDATA("value", financials_wide!$A$3, "adsh", $E129, "tag", "InterestIncomeOperating")),"")</f>
        <v>92478000</v>
      </c>
      <c r="I129">
        <f>IFERROR(GETPIVOTDATA("value", financials_wide!$A$3, "adsh", $E129, "tag", "Liabilities"),"")</f>
        <v>783940000</v>
      </c>
      <c r="J129">
        <f t="shared" si="6"/>
        <v>193195000</v>
      </c>
      <c r="K129">
        <f>IFERROR(GETPIVOTDATA("value", financials_wide!$A$3, "adsh", $E129, "tag", "NetIncomeLoss"),"")</f>
        <v>16091000</v>
      </c>
      <c r="L129">
        <f>IFERROR(GETPIVOTDATA("value", financials_wide!$A$3, "adsh", $E129, "tag", "StockholdersEquity"),"")</f>
        <v>193195000</v>
      </c>
      <c r="M129">
        <f t="shared" si="7"/>
        <v>5.0577654701208621</v>
      </c>
      <c r="N129" s="3">
        <f t="shared" si="8"/>
        <v>1.6467530075168733E-2</v>
      </c>
      <c r="O129" t="str">
        <f t="shared" si="9"/>
        <v>Small</v>
      </c>
    </row>
    <row r="130" spans="1:15" x14ac:dyDescent="0.25">
      <c r="A130">
        <v>129</v>
      </c>
      <c r="B130">
        <v>6021</v>
      </c>
      <c r="C130" t="str">
        <v>PINNACLE FINANCIAL PARTNERS, INC.</v>
      </c>
      <c r="D130">
        <v>2082866</v>
      </c>
      <c r="E130" t="str">
        <v>0002082866-26-000018</v>
      </c>
      <c r="F130">
        <f>IFERROR(GETPIVOTDATA("value", financials_wide!$A$3, "adsh", $E130, "tag", "Assets"),"")</f>
        <v>57706053000</v>
      </c>
      <c r="G130">
        <f>IFERROR(GETPIVOTDATA("value", financials_wide!$A$3, "adsh", $E130, "tag", "EarningsPerShareBasic"),"")</f>
        <v>8.15</v>
      </c>
      <c r="H130">
        <f>IFERROR(IFERROR(GETPIVOTDATA("value", financials_wide!$A$3, "adsh", $E130, "tag", "InterestAndDividendIncomeOperating"), GETPIVOTDATA("value", financials_wide!$A$3, "adsh", $E130, "tag", "InterestIncomeOperating")),"")</f>
        <v>2795632000</v>
      </c>
      <c r="I130">
        <f>IFERROR(GETPIVOTDATA("value", financials_wide!$A$3, "adsh", $E130, "tag", "Liabilities"),"")</f>
        <v>50662338000</v>
      </c>
      <c r="J130">
        <f t="shared" si="6"/>
        <v>7043715000</v>
      </c>
      <c r="K130">
        <f>IFERROR(GETPIVOTDATA("value", financials_wide!$A$3, "adsh", $E130, "tag", "NetIncomeLoss"),"")</f>
        <v>641865000</v>
      </c>
      <c r="L130">
        <f>IFERROR(GETPIVOTDATA("value", financials_wide!$A$3, "adsh", $E130, "tag", "StockholdersEquity"),"")</f>
        <v>7043715000</v>
      </c>
      <c r="M130">
        <f t="shared" si="7"/>
        <v>8.1925593241634562</v>
      </c>
      <c r="N130" s="3">
        <f t="shared" si="8"/>
        <v>1.1123009920640388E-2</v>
      </c>
      <c r="O130" t="str">
        <f t="shared" si="9"/>
        <v>Large</v>
      </c>
    </row>
    <row r="131" spans="1:15" x14ac:dyDescent="0.25">
      <c r="A131">
        <v>130</v>
      </c>
      <c r="B131">
        <v>6021</v>
      </c>
      <c r="C131" t="str">
        <v>PATRIOT NATIONAL BANCORP INC</v>
      </c>
      <c r="D131">
        <v>1098146</v>
      </c>
      <c r="E131" t="str">
        <v>0001628280-26-022508</v>
      </c>
      <c r="F131">
        <f>IFERROR(GETPIVOTDATA("value", financials_wide!$A$3, "adsh", $E131, "tag", "Assets"),"")</f>
        <v>1087840000</v>
      </c>
      <c r="G131">
        <f>IFERROR(GETPIVOTDATA("value", financials_wide!$A$3, "adsh", $E131, "tag", "EarningsPerShareBasic"),"")</f>
        <v>-0.17</v>
      </c>
      <c r="H131">
        <f>IFERROR(IFERROR(GETPIVOTDATA("value", financials_wide!$A$3, "adsh", $E131, "tag", "InterestAndDividendIncomeOperating"), GETPIVOTDATA("value", financials_wide!$A$3, "adsh", $E131, "tag", "InterestIncomeOperating")),"")</f>
        <v>47843000</v>
      </c>
      <c r="I131">
        <f>IFERROR(GETPIVOTDATA("value", financials_wide!$A$3, "adsh", $E131, "tag", "Liabilities"),"")</f>
        <v>993160000</v>
      </c>
      <c r="J131">
        <f t="shared" ref="J131:J194" si="10">IFERROR(F131-I131,"")</f>
        <v>94680000</v>
      </c>
      <c r="K131">
        <f>IFERROR(GETPIVOTDATA("value", financials_wide!$A$3, "adsh", $E131, "tag", "NetIncomeLoss"),"")</f>
        <v>-12710000</v>
      </c>
      <c r="L131">
        <f>IFERROR(GETPIVOTDATA("value", financials_wide!$A$3, "adsh", $E131, "tag", "StockholdersEquity"),"")</f>
        <v>94680000</v>
      </c>
      <c r="M131">
        <f t="shared" ref="M131:M194" si="11">IFERROR(F131/L131,NA())</f>
        <v>11.489649345162654</v>
      </c>
      <c r="N131" s="3">
        <f t="shared" ref="N131:N194" si="12">IFERROR(K131/F131,NA())</f>
        <v>-1.1683703485806737E-2</v>
      </c>
      <c r="O131" t="str">
        <f t="shared" ref="O131:O194" si="13">IF(F131="","",IF(F131&lt;=$P$2,"Small",IF(F131&lt;=$Q$2,"Mid","Large")))</f>
        <v>Small</v>
      </c>
    </row>
    <row r="132" spans="1:15" x14ac:dyDescent="0.25">
      <c r="A132">
        <v>131</v>
      </c>
      <c r="B132">
        <v>6022</v>
      </c>
      <c r="C132" t="str">
        <v>NEW PEOPLES BANKSHARES INC</v>
      </c>
      <c r="D132">
        <v>1163389</v>
      </c>
      <c r="E132" t="str">
        <v>0001903596-26-000116</v>
      </c>
      <c r="F132">
        <f>IFERROR(GETPIVOTDATA("value", financials_wide!$A$3, "adsh", $E132, "tag", "Assets"),"")</f>
        <v>909700000</v>
      </c>
      <c r="G132">
        <f>IFERROR(GETPIVOTDATA("value", financials_wide!$A$3, "adsh", $E132, "tag", "EarningsPerShareBasic"),"")</f>
        <v>0.43</v>
      </c>
      <c r="H132">
        <f>IFERROR(IFERROR(GETPIVOTDATA("value", financials_wide!$A$3, "adsh", $E132, "tag", "InterestAndDividendIncomeOperating"), GETPIVOTDATA("value", financials_wide!$A$3, "adsh", $E132, "tag", "InterestIncomeOperating")),"")</f>
        <v>48587000</v>
      </c>
      <c r="I132">
        <f>IFERROR(GETPIVOTDATA("value", financials_wide!$A$3, "adsh", $E132, "tag", "Liabilities"),"")</f>
        <v>826845000</v>
      </c>
      <c r="J132">
        <f t="shared" si="10"/>
        <v>82855000</v>
      </c>
      <c r="K132">
        <f>IFERROR(GETPIVOTDATA("value", financials_wide!$A$3, "adsh", $E132, "tag", "NetIncomeLoss"),"")</f>
        <v>10098000</v>
      </c>
      <c r="L132">
        <f>IFERROR(GETPIVOTDATA("value", financials_wide!$A$3, "adsh", $E132, "tag", "StockholdersEquity"),"")</f>
        <v>82855000</v>
      </c>
      <c r="M132">
        <f t="shared" si="11"/>
        <v>10.979421881600386</v>
      </c>
      <c r="N132" s="3">
        <f t="shared" si="12"/>
        <v>1.1100362756952841E-2</v>
      </c>
      <c r="O132" t="str">
        <f t="shared" si="13"/>
        <v>Small</v>
      </c>
    </row>
    <row r="133" spans="1:15" x14ac:dyDescent="0.25">
      <c r="A133">
        <v>132</v>
      </c>
      <c r="B133">
        <v>6022</v>
      </c>
      <c r="C133" t="str">
        <v>ASSOCIATED BANC-CORP</v>
      </c>
      <c r="D133">
        <v>7789</v>
      </c>
      <c r="E133" t="str">
        <v>0000007789-26-000071</v>
      </c>
      <c r="F133">
        <f>IFERROR(GETPIVOTDATA("value", financials_wide!$A$3, "adsh", $E133, "tag", "Assets"),"")</f>
        <v>45202596000</v>
      </c>
      <c r="G133">
        <f>IFERROR(GETPIVOTDATA("value", financials_wide!$A$3, "adsh", $E133, "tag", "EarningsPerShareBasic"),"")</f>
        <v>2.79</v>
      </c>
      <c r="H133">
        <f>IFERROR(IFERROR(GETPIVOTDATA("value", financials_wide!$A$3, "adsh", $E133, "tag", "InterestAndDividendIncomeOperating"), GETPIVOTDATA("value", financials_wide!$A$3, "adsh", $E133, "tag", "InterestIncomeOperating")),"")</f>
        <v>2172756000</v>
      </c>
      <c r="I133">
        <f>IFERROR(GETPIVOTDATA("value", financials_wide!$A$3, "adsh", $E133, "tag", "Liabilities"),"")</f>
        <v>40227249000</v>
      </c>
      <c r="J133">
        <f t="shared" si="10"/>
        <v>4975347000</v>
      </c>
      <c r="K133">
        <f>IFERROR(GETPIVOTDATA("value", financials_wide!$A$3, "adsh", $E133, "tag", "NetIncomeLoss"),"")</f>
        <v>474777000</v>
      </c>
      <c r="L133">
        <f>IFERROR(GETPIVOTDATA("value", financials_wide!$A$3, "adsh", $E133, "tag", "StockholdersEquity"),"")</f>
        <v>4975347000</v>
      </c>
      <c r="M133">
        <f t="shared" si="11"/>
        <v>9.0853152553982675</v>
      </c>
      <c r="N133" s="3">
        <f t="shared" si="12"/>
        <v>1.0503312685846627E-2</v>
      </c>
      <c r="O133" t="str">
        <f t="shared" si="13"/>
        <v>Large</v>
      </c>
    </row>
    <row r="134" spans="1:15" x14ac:dyDescent="0.25">
      <c r="A134">
        <v>133</v>
      </c>
      <c r="B134">
        <v>6022</v>
      </c>
      <c r="C134" t="str">
        <v>COMMERCE BANCSHARES INC /MO/</v>
      </c>
      <c r="D134">
        <v>22356</v>
      </c>
      <c r="E134" t="str">
        <v>0000022356-26-000069</v>
      </c>
      <c r="F134">
        <f>IFERROR(GETPIVOTDATA("value", financials_wide!$A$3, "adsh", $E134, "tag", "Assets"),"")</f>
        <v>32915089000</v>
      </c>
      <c r="G134">
        <f>IFERROR(GETPIVOTDATA("value", financials_wide!$A$3, "adsh", $E134, "tag", "EarningsPerShareBasic"),"")</f>
        <v>4.04</v>
      </c>
      <c r="H134">
        <f>IFERROR(IFERROR(GETPIVOTDATA("value", financials_wide!$A$3, "adsh", $E134, "tag", "InterestAndDividendIncomeOperating"), GETPIVOTDATA("value", financials_wide!$A$3, "adsh", $E134, "tag", "InterestIncomeOperating")),"")</f>
        <v>1483723000</v>
      </c>
      <c r="I134">
        <f>IFERROR(GETPIVOTDATA("value", financials_wide!$A$3, "adsh", $E134, "tag", "Liabilities"),"")</f>
        <v>29100317000</v>
      </c>
      <c r="J134">
        <f t="shared" si="10"/>
        <v>3814772000</v>
      </c>
      <c r="K134">
        <f>IFERROR(GETPIVOTDATA("value", financials_wide!$A$3, "adsh", $E134, "tag", "NetIncomeLoss"),"")</f>
        <v>566251000</v>
      </c>
      <c r="L134">
        <f>IFERROR(GETPIVOTDATA("value", financials_wide!$A$3, "adsh", $E134, "tag", "StockholdersEquity"),"")</f>
        <v>3791371000</v>
      </c>
      <c r="M134">
        <f t="shared" si="11"/>
        <v>8.6815795658087804</v>
      </c>
      <c r="N134" s="3">
        <f t="shared" si="12"/>
        <v>1.7203386568391172E-2</v>
      </c>
      <c r="O134" t="str">
        <f t="shared" si="13"/>
        <v>Large</v>
      </c>
    </row>
    <row r="135" spans="1:15" x14ac:dyDescent="0.25">
      <c r="A135">
        <v>134</v>
      </c>
      <c r="B135">
        <v>6022</v>
      </c>
      <c r="C135" t="str">
        <v>1ST SOURCE CORP</v>
      </c>
      <c r="D135">
        <v>34782</v>
      </c>
      <c r="E135" t="str">
        <v>0000034782-26-000011</v>
      </c>
      <c r="F135">
        <f>IFERROR(GETPIVOTDATA("value", financials_wide!$A$3, "adsh", $E135, "tag", "Assets"),"")</f>
        <v>9055270000</v>
      </c>
      <c r="G135">
        <f>IFERROR(GETPIVOTDATA("value", financials_wide!$A$3, "adsh", $E135, "tag", "EarningsPerShareBasic"),"")</f>
        <v>6.41</v>
      </c>
      <c r="H135">
        <f>IFERROR(IFERROR(GETPIVOTDATA("value", financials_wide!$A$3, "adsh", $E135, "tag", "InterestAndDividendIncomeOperating"), GETPIVOTDATA("value", financials_wide!$A$3, "adsh", $E135, "tag", "InterestIncomeOperating")),"")</f>
        <v>514394000</v>
      </c>
      <c r="I135">
        <f>IFERROR(GETPIVOTDATA("value", financials_wide!$A$3, "adsh", $E135, "tag", "Liabilities"),"")</f>
        <v>7737180000</v>
      </c>
      <c r="J135">
        <f t="shared" si="10"/>
        <v>1318090000</v>
      </c>
      <c r="K135">
        <f>IFERROR(GETPIVOTDATA("value", financials_wide!$A$3, "adsh", $E135, "tag", "NetIncomeLoss"),"")</f>
        <v>0</v>
      </c>
      <c r="L135">
        <f>IFERROR(GETPIVOTDATA("value", financials_wide!$A$3, "adsh", $E135, "tag", "StockholdersEquity"),"")</f>
        <v>1274971000</v>
      </c>
      <c r="M135">
        <f t="shared" si="11"/>
        <v>7.1023340923048446</v>
      </c>
      <c r="N135" s="3">
        <f t="shared" si="12"/>
        <v>0</v>
      </c>
      <c r="O135" t="str">
        <f t="shared" si="13"/>
        <v>Mid</v>
      </c>
    </row>
    <row r="136" spans="1:15" x14ac:dyDescent="0.25">
      <c r="A136">
        <v>135</v>
      </c>
      <c r="B136">
        <v>6022</v>
      </c>
      <c r="C136" t="str">
        <v>FIFTH THIRD BANCORP</v>
      </c>
      <c r="D136">
        <v>35527</v>
      </c>
      <c r="E136" t="str">
        <v>0000035527-26-000124</v>
      </c>
      <c r="F136">
        <f>IFERROR(GETPIVOTDATA("value", financials_wide!$A$3, "adsh", $E136, "tag", "Assets"),"")</f>
        <v>214376000000</v>
      </c>
      <c r="G136">
        <f>IFERROR(GETPIVOTDATA("value", financials_wide!$A$3, "adsh", $E136, "tag", "EarningsPerShareBasic"),"")</f>
        <v>3.56</v>
      </c>
      <c r="H136">
        <f>IFERROR(IFERROR(GETPIVOTDATA("value", financials_wide!$A$3, "adsh", $E136, "tag", "InterestAndDividendIncomeOperating"), GETPIVOTDATA("value", financials_wide!$A$3, "adsh", $E136, "tag", "InterestIncomeOperating")),"")</f>
        <v>9903000000</v>
      </c>
      <c r="I136">
        <f>IFERROR(GETPIVOTDATA("value", financials_wide!$A$3, "adsh", $E136, "tag", "Liabilities"),"")</f>
        <v>192652000000</v>
      </c>
      <c r="J136">
        <f t="shared" si="10"/>
        <v>21724000000</v>
      </c>
      <c r="K136">
        <f>IFERROR(GETPIVOTDATA("value", financials_wide!$A$3, "adsh", $E136, "tag", "NetIncomeLoss"),"")</f>
        <v>2522000000</v>
      </c>
      <c r="L136">
        <f>IFERROR(GETPIVOTDATA("value", financials_wide!$A$3, "adsh", $E136, "tag", "StockholdersEquity"),"")</f>
        <v>21724000000</v>
      </c>
      <c r="M136">
        <f t="shared" si="11"/>
        <v>9.8681642423126501</v>
      </c>
      <c r="N136" s="3">
        <f t="shared" si="12"/>
        <v>1.1764376609321938E-2</v>
      </c>
      <c r="O136" t="str">
        <f t="shared" si="13"/>
        <v>Large</v>
      </c>
    </row>
    <row r="137" spans="1:15" x14ac:dyDescent="0.25">
      <c r="A137">
        <v>136</v>
      </c>
      <c r="B137">
        <v>6021</v>
      </c>
      <c r="C137" t="str">
        <v>US BANCORP DE</v>
      </c>
      <c r="D137">
        <v>36104</v>
      </c>
      <c r="E137" t="str">
        <v>0000036104-26-000011</v>
      </c>
      <c r="F137">
        <f>IFERROR(GETPIVOTDATA("value", financials_wide!$A$3, "adsh", $E137, "tag", "Assets"),"")</f>
        <v>692345000000</v>
      </c>
      <c r="G137">
        <f>IFERROR(GETPIVOTDATA("value", financials_wide!$A$3, "adsh", $E137, "tag", "EarningsPerShareBasic"),"")</f>
        <v>4.62</v>
      </c>
      <c r="H137">
        <f>IFERROR(IFERROR(GETPIVOTDATA("value", financials_wide!$A$3, "adsh", $E137, "tag", "InterestAndDividendIncomeOperating"), GETPIVOTDATA("value", financials_wide!$A$3, "adsh", $E137, "tag", "InterestIncomeOperating")),"")</f>
        <v>30970000000</v>
      </c>
      <c r="I137">
        <f>IFERROR(GETPIVOTDATA("value", financials_wide!$A$3, "adsh", $E137, "tag", "Liabilities"),"")</f>
        <v>626694000000</v>
      </c>
      <c r="J137">
        <f t="shared" si="10"/>
        <v>65651000000</v>
      </c>
      <c r="K137">
        <f>IFERROR(GETPIVOTDATA("value", financials_wide!$A$3, "adsh", $E137, "tag", "NetIncomeLoss"),"")</f>
        <v>7570000000</v>
      </c>
      <c r="L137">
        <f>IFERROR(GETPIVOTDATA("value", financials_wide!$A$3, "adsh", $E137, "tag", "StockholdersEquity"),"")</f>
        <v>65193000000</v>
      </c>
      <c r="M137">
        <f t="shared" si="11"/>
        <v>10.619928519933122</v>
      </c>
      <c r="N137" s="3">
        <f t="shared" si="12"/>
        <v>1.0933855231134767E-2</v>
      </c>
      <c r="O137" t="str">
        <f t="shared" si="13"/>
        <v>Large</v>
      </c>
    </row>
    <row r="138" spans="1:15" x14ac:dyDescent="0.25">
      <c r="A138">
        <v>137</v>
      </c>
      <c r="B138">
        <v>6022</v>
      </c>
      <c r="C138" t="str">
        <v>M&amp;T BANK CORP</v>
      </c>
      <c r="D138">
        <v>36270</v>
      </c>
      <c r="E138" t="str">
        <v>0000036270-26-000010</v>
      </c>
      <c r="F138">
        <f>IFERROR(GETPIVOTDATA("value", financials_wide!$A$3, "adsh", $E138, "tag", "Assets"),"")</f>
        <v>213510000000</v>
      </c>
      <c r="G138">
        <f>IFERROR(GETPIVOTDATA("value", financials_wide!$A$3, "adsh", $E138, "tag", "EarningsPerShareBasic"),"")</f>
        <v>17.100000000000001</v>
      </c>
      <c r="H138">
        <f>IFERROR(IFERROR(GETPIVOTDATA("value", financials_wide!$A$3, "adsh", $E138, "tag", "InterestAndDividendIncomeOperating"), GETPIVOTDATA("value", financials_wide!$A$3, "adsh", $E138, "tag", "InterestIncomeOperating")),"")</f>
        <v>10486000000</v>
      </c>
      <c r="I138">
        <f>IFERROR(GETPIVOTDATA("value", financials_wide!$A$3, "adsh", $E138, "tag", "Liabilities"),"")</f>
        <v>184333000000</v>
      </c>
      <c r="J138">
        <f t="shared" si="10"/>
        <v>29177000000</v>
      </c>
      <c r="K138">
        <f>IFERROR(GETPIVOTDATA("value", financials_wide!$A$3, "adsh", $E138, "tag", "NetIncomeLoss"),"")</f>
        <v>2851000000</v>
      </c>
      <c r="L138">
        <f>IFERROR(GETPIVOTDATA("value", financials_wide!$A$3, "adsh", $E138, "tag", "StockholdersEquity"),"")</f>
        <v>29177000000</v>
      </c>
      <c r="M138">
        <f t="shared" si="11"/>
        <v>7.3177502827569665</v>
      </c>
      <c r="N138" s="3">
        <f t="shared" si="12"/>
        <v>1.3353004543112735E-2</v>
      </c>
      <c r="O138" t="str">
        <f t="shared" si="13"/>
        <v>Large</v>
      </c>
    </row>
    <row r="139" spans="1:15" x14ac:dyDescent="0.25">
      <c r="A139">
        <v>138</v>
      </c>
      <c r="B139">
        <v>6021</v>
      </c>
      <c r="C139" t="str">
        <v>FIRST HORIZON CORP</v>
      </c>
      <c r="D139">
        <v>36966</v>
      </c>
      <c r="E139" t="str">
        <v>0000036966-26-000051</v>
      </c>
      <c r="F139">
        <f>IFERROR(GETPIVOTDATA("value", financials_wide!$A$3, "adsh", $E139, "tag", "Assets"),"")</f>
        <v>83876000000</v>
      </c>
      <c r="G139">
        <f>IFERROR(GETPIVOTDATA("value", financials_wide!$A$3, "adsh", $E139, "tag", "EarningsPerShareBasic"),"")</f>
        <v>1.89</v>
      </c>
      <c r="H139">
        <f>IFERROR(IFERROR(GETPIVOTDATA("value", financials_wide!$A$3, "adsh", $E139, "tag", "InterestAndDividendIncomeOperating"), GETPIVOTDATA("value", financials_wide!$A$3, "adsh", $E139, "tag", "InterestIncomeOperating")),"")</f>
        <v>0</v>
      </c>
      <c r="I139">
        <f>IFERROR(GETPIVOTDATA("value", financials_wide!$A$3, "adsh", $E139, "tag", "Liabilities"),"")</f>
        <v>74734000000</v>
      </c>
      <c r="J139">
        <f t="shared" si="10"/>
        <v>9142000000</v>
      </c>
      <c r="K139">
        <f>IFERROR(GETPIVOTDATA("value", financials_wide!$A$3, "adsh", $E139, "tag", "NetIncomeLoss"),"")</f>
        <v>982000000</v>
      </c>
      <c r="L139">
        <f>IFERROR(GETPIVOTDATA("value", financials_wide!$A$3, "adsh", $E139, "tag", "StockholdersEquity"),"")</f>
        <v>8847000000</v>
      </c>
      <c r="M139">
        <f t="shared" si="11"/>
        <v>9.4807279303718772</v>
      </c>
      <c r="N139" s="3">
        <f t="shared" si="12"/>
        <v>1.1707759072917164E-2</v>
      </c>
      <c r="O139" t="str">
        <f t="shared" si="13"/>
        <v>Large</v>
      </c>
    </row>
    <row r="140" spans="1:15" x14ac:dyDescent="0.25">
      <c r="A140">
        <v>139</v>
      </c>
      <c r="B140">
        <v>6021</v>
      </c>
      <c r="C140" t="str">
        <v>FNB CORP/PA/</v>
      </c>
      <c r="D140">
        <v>37808</v>
      </c>
      <c r="E140" t="str">
        <v>0000037808-26-000007</v>
      </c>
      <c r="F140">
        <f>IFERROR(GETPIVOTDATA("value", financials_wide!$A$3, "adsh", $E140, "tag", "Assets"),"")</f>
        <v>50229000000</v>
      </c>
      <c r="G140">
        <f>IFERROR(GETPIVOTDATA("value", financials_wide!$A$3, "adsh", $E140, "tag", "EarningsPerShareBasic"),"")</f>
        <v>1.57</v>
      </c>
      <c r="H140">
        <f>IFERROR(IFERROR(GETPIVOTDATA("value", financials_wide!$A$3, "adsh", $E140, "tag", "InterestAndDividendIncomeOperating"), GETPIVOTDATA("value", financials_wide!$A$3, "adsh", $E140, "tag", "InterestIncomeOperating")),"")</f>
        <v>2326000000</v>
      </c>
      <c r="I140">
        <f>IFERROR(GETPIVOTDATA("value", financials_wide!$A$3, "adsh", $E140, "tag", "Liabilities"),"")</f>
        <v>43470000000</v>
      </c>
      <c r="J140">
        <f t="shared" si="10"/>
        <v>6759000000</v>
      </c>
      <c r="K140">
        <f>IFERROR(GETPIVOTDATA("value", financials_wide!$A$3, "adsh", $E140, "tag", "NetIncomeLoss"),"")</f>
        <v>565000000</v>
      </c>
      <c r="L140">
        <f>IFERROR(GETPIVOTDATA("value", financials_wide!$A$3, "adsh", $E140, "tag", "StockholdersEquity"),"")</f>
        <v>6759000000</v>
      </c>
      <c r="M140">
        <f t="shared" si="11"/>
        <v>7.4314247669773632</v>
      </c>
      <c r="N140" s="3">
        <f t="shared" si="12"/>
        <v>1.1248481952656831E-2</v>
      </c>
      <c r="O140" t="str">
        <f t="shared" si="13"/>
        <v>Large</v>
      </c>
    </row>
    <row r="141" spans="1:15" x14ac:dyDescent="0.25">
      <c r="A141">
        <v>140</v>
      </c>
      <c r="B141">
        <v>6021</v>
      </c>
      <c r="C141" t="str">
        <v>CULLEN/FROST BANKERS, INC.</v>
      </c>
      <c r="D141">
        <v>39263</v>
      </c>
      <c r="E141" t="str">
        <v>0000039263-26-000011</v>
      </c>
      <c r="F141">
        <f>IFERROR(GETPIVOTDATA("value", financials_wide!$A$3, "adsh", $E141, "tag", "Assets"),"")</f>
        <v>53041424000</v>
      </c>
      <c r="G141">
        <f>IFERROR(GETPIVOTDATA("value", financials_wide!$A$3, "adsh", $E141, "tag", "EarningsPerShareBasic"),"")</f>
        <v>9.92</v>
      </c>
      <c r="H141">
        <f>IFERROR(IFERROR(GETPIVOTDATA("value", financials_wide!$A$3, "adsh", $E141, "tag", "InterestAndDividendIncomeOperating"), GETPIVOTDATA("value", financials_wide!$A$3, "adsh", $E141, "tag", "InterestIncomeOperating")),"")</f>
        <v>2420747000</v>
      </c>
      <c r="I141">
        <f>IFERROR(GETPIVOTDATA("value", financials_wide!$A$3, "adsh", $E141, "tag", "Liabilities"),"")</f>
        <v>48468388000</v>
      </c>
      <c r="J141">
        <f t="shared" si="10"/>
        <v>4573036000</v>
      </c>
      <c r="K141">
        <f>IFERROR(GETPIVOTDATA("value", financials_wide!$A$3, "adsh", $E141, "tag", "NetIncomeLoss"),"")</f>
        <v>648557000</v>
      </c>
      <c r="L141">
        <f>IFERROR(GETPIVOTDATA("value", financials_wide!$A$3, "adsh", $E141, "tag", "StockholdersEquity"),"")</f>
        <v>4573036000</v>
      </c>
      <c r="M141">
        <f t="shared" si="11"/>
        <v>11.598733095475303</v>
      </c>
      <c r="N141" s="3">
        <f t="shared" si="12"/>
        <v>1.2227367802191736E-2</v>
      </c>
      <c r="O141" t="str">
        <f t="shared" si="13"/>
        <v>Large</v>
      </c>
    </row>
    <row r="142" spans="1:15" x14ac:dyDescent="0.25">
      <c r="A142">
        <v>141</v>
      </c>
      <c r="B142">
        <v>6022</v>
      </c>
      <c r="C142" t="str">
        <v>ALLY FINANCIAL INC.</v>
      </c>
      <c r="D142">
        <v>40729</v>
      </c>
      <c r="E142" t="str">
        <v>0000040729-26-000005</v>
      </c>
      <c r="F142">
        <f>IFERROR(GETPIVOTDATA("value", financials_wide!$A$3, "adsh", $E142, "tag", "Assets"),"")</f>
        <v>196002000000</v>
      </c>
      <c r="G142">
        <f>IFERROR(GETPIVOTDATA("value", financials_wide!$A$3, "adsh", $E142, "tag", "EarningsPerShareBasic"),"")</f>
        <v>2.39</v>
      </c>
      <c r="H142">
        <f>IFERROR(IFERROR(GETPIVOTDATA("value", financials_wide!$A$3, "adsh", $E142, "tag", "InterestAndDividendIncomeOperating"), GETPIVOTDATA("value", financials_wide!$A$3, "adsh", $E142, "tag", "InterestIncomeOperating")),"")</f>
        <v>0</v>
      </c>
      <c r="I142">
        <f>IFERROR(GETPIVOTDATA("value", financials_wide!$A$3, "adsh", $E142, "tag", "Liabilities"),"")</f>
        <v>180504000000</v>
      </c>
      <c r="J142">
        <f t="shared" si="10"/>
        <v>15498000000</v>
      </c>
      <c r="K142">
        <f>IFERROR(GETPIVOTDATA("value", financials_wide!$A$3, "adsh", $E142, "tag", "NetIncomeLoss"),"")</f>
        <v>852000000</v>
      </c>
      <c r="L142">
        <f>IFERROR(GETPIVOTDATA("value", financials_wide!$A$3, "adsh", $E142, "tag", "StockholdersEquity"),"")</f>
        <v>15498000000</v>
      </c>
      <c r="M142">
        <f t="shared" si="11"/>
        <v>12.646922183507549</v>
      </c>
      <c r="N142" s="3">
        <f t="shared" si="12"/>
        <v>4.3468944194446999E-3</v>
      </c>
      <c r="O142" t="str">
        <f t="shared" si="13"/>
        <v>Large</v>
      </c>
    </row>
    <row r="143" spans="1:15" x14ac:dyDescent="0.25">
      <c r="A143">
        <v>142</v>
      </c>
      <c r="B143">
        <v>6022</v>
      </c>
      <c r="C143" t="str">
        <v>BANK OF HAWAII CORP</v>
      </c>
      <c r="D143">
        <v>46195</v>
      </c>
      <c r="E143" t="str">
        <v>0000046195-26-000015</v>
      </c>
      <c r="F143">
        <f>IFERROR(GETPIVOTDATA("value", financials_wide!$A$3, "adsh", $E143, "tag", "Assets"),"")</f>
        <v>24176364000</v>
      </c>
      <c r="G143">
        <f>IFERROR(GETPIVOTDATA("value", financials_wide!$A$3, "adsh", $E143, "tag", "EarningsPerShareBasic"),"")</f>
        <v>4.67</v>
      </c>
      <c r="H143">
        <f>IFERROR(IFERROR(GETPIVOTDATA("value", financials_wide!$A$3, "adsh", $E143, "tag", "InterestAndDividendIncomeOperating"), GETPIVOTDATA("value", financials_wide!$A$3, "adsh", $E143, "tag", "InterestIncomeOperating")),"")</f>
        <v>887823000</v>
      </c>
      <c r="I143">
        <f>IFERROR(GETPIVOTDATA("value", financials_wide!$A$3, "adsh", $E143, "tag", "Liabilities"),"")</f>
        <v>22325152000</v>
      </c>
      <c r="J143">
        <f t="shared" si="10"/>
        <v>1851212000</v>
      </c>
      <c r="K143">
        <f>IFERROR(GETPIVOTDATA("value", financials_wide!$A$3, "adsh", $E143, "tag", "NetIncomeLoss"),"")</f>
        <v>205902000</v>
      </c>
      <c r="L143">
        <f>IFERROR(GETPIVOTDATA("value", financials_wide!$A$3, "adsh", $E143, "tag", "StockholdersEquity"),"")</f>
        <v>1851212000</v>
      </c>
      <c r="M143">
        <f t="shared" si="11"/>
        <v>13.059748964462202</v>
      </c>
      <c r="N143" s="3">
        <f t="shared" si="12"/>
        <v>8.5166652851520596E-3</v>
      </c>
      <c r="O143" t="str">
        <f t="shared" si="13"/>
        <v>Large</v>
      </c>
    </row>
    <row r="144" spans="1:15" x14ac:dyDescent="0.25">
      <c r="A144">
        <v>143</v>
      </c>
      <c r="B144">
        <v>6021</v>
      </c>
      <c r="C144" t="str">
        <v>HUNTINGTON BANCSHARES INC /MD/</v>
      </c>
      <c r="D144">
        <v>49196</v>
      </c>
      <c r="E144" t="str">
        <v>0000049196-26-000015</v>
      </c>
      <c r="F144">
        <f>IFERROR(GETPIVOTDATA("value", financials_wide!$A$3, "adsh", $E144, "tag", "Assets"),"")</f>
        <v>225106000000</v>
      </c>
      <c r="G144">
        <f>IFERROR(GETPIVOTDATA("value", financials_wide!$A$3, "adsh", $E144, "tag", "EarningsPerShareBasic"),"")</f>
        <v>1.41</v>
      </c>
      <c r="H144">
        <f>IFERROR(IFERROR(GETPIVOTDATA("value", financials_wide!$A$3, "adsh", $E144, "tag", "InterestAndDividendIncomeOperating"), GETPIVOTDATA("value", financials_wide!$A$3, "adsh", $E144, "tag", "InterestIncomeOperating")),"")</f>
        <v>10310000000</v>
      </c>
      <c r="I144">
        <f>IFERROR(GETPIVOTDATA("value", financials_wide!$A$3, "adsh", $E144, "tag", "Liabilities"),"")</f>
        <v>200727000000</v>
      </c>
      <c r="J144">
        <f t="shared" si="10"/>
        <v>24379000000</v>
      </c>
      <c r="K144">
        <f>IFERROR(GETPIVOTDATA("value", financials_wide!$A$3, "adsh", $E144, "tag", "NetIncomeLoss"),"")</f>
        <v>2211000000</v>
      </c>
      <c r="L144">
        <f>IFERROR(GETPIVOTDATA("value", financials_wide!$A$3, "adsh", $E144, "tag", "StockholdersEquity"),"")</f>
        <v>24342000000</v>
      </c>
      <c r="M144">
        <f t="shared" si="11"/>
        <v>9.2476378276230378</v>
      </c>
      <c r="N144" s="3">
        <f t="shared" si="12"/>
        <v>9.8220393947740167E-3</v>
      </c>
      <c r="O144" t="str">
        <f t="shared" si="13"/>
        <v>Large</v>
      </c>
    </row>
    <row r="145" spans="1:15" x14ac:dyDescent="0.25">
      <c r="A145">
        <v>144</v>
      </c>
      <c r="B145">
        <v>6021</v>
      </c>
      <c r="C145" t="str">
        <v>BANK OF AMERICA CORP /DE/</v>
      </c>
      <c r="D145">
        <v>70858</v>
      </c>
      <c r="E145" t="str">
        <v>0000070858-26-000157</v>
      </c>
      <c r="F145">
        <f>IFERROR(GETPIVOTDATA("value", financials_wide!$A$3, "adsh", $E145, "tag", "Assets"),"")</f>
        <v>3411738000000</v>
      </c>
      <c r="G145">
        <f>IFERROR(GETPIVOTDATA("value", financials_wide!$A$3, "adsh", $E145, "tag", "EarningsPerShareBasic"),"")</f>
        <v>3.86</v>
      </c>
      <c r="H145">
        <f>IFERROR(IFERROR(GETPIVOTDATA("value", financials_wide!$A$3, "adsh", $E145, "tag", "InterestAndDividendIncomeOperating"), GETPIVOTDATA("value", financials_wide!$A$3, "adsh", $E145, "tag", "InterestIncomeOperating")),"")</f>
        <v>138566000000</v>
      </c>
      <c r="I145">
        <f>IFERROR(GETPIVOTDATA("value", financials_wide!$A$3, "adsh", $E145, "tag", "Liabilities"),"")</f>
        <v>3108495000000</v>
      </c>
      <c r="J145">
        <f t="shared" si="10"/>
        <v>303243000000</v>
      </c>
      <c r="K145">
        <f>IFERROR(GETPIVOTDATA("value", financials_wide!$A$3, "adsh", $E145, "tag", "NetIncomeLoss"),"")</f>
        <v>30509000000</v>
      </c>
      <c r="L145">
        <f>IFERROR(GETPIVOTDATA("value", financials_wide!$A$3, "adsh", $E145, "tag", "StockholdersEquity"),"")</f>
        <v>303243000000</v>
      </c>
      <c r="M145">
        <f t="shared" si="11"/>
        <v>11.25083843650142</v>
      </c>
      <c r="N145" s="3">
        <f t="shared" si="12"/>
        <v>8.9423631005663383E-3</v>
      </c>
      <c r="O145" t="str">
        <f t="shared" si="13"/>
        <v>Large</v>
      </c>
    </row>
    <row r="146" spans="1:15" x14ac:dyDescent="0.25">
      <c r="A146">
        <v>145</v>
      </c>
      <c r="B146">
        <v>6021</v>
      </c>
      <c r="C146" t="str">
        <v>WELLS FARGO &amp; COMPANY/MN</v>
      </c>
      <c r="D146">
        <v>72971</v>
      </c>
      <c r="E146" t="str">
        <v>0000072971-26-000133</v>
      </c>
      <c r="F146">
        <f>IFERROR(GETPIVOTDATA("value", financials_wide!$A$3, "adsh", $E146, "tag", "Assets"),"")</f>
        <v>2148631000000</v>
      </c>
      <c r="G146">
        <f>IFERROR(GETPIVOTDATA("value", financials_wide!$A$3, "adsh", $E146, "tag", "EarningsPerShareBasic"),"")</f>
        <v>6.34</v>
      </c>
      <c r="H146">
        <f>IFERROR(IFERROR(GETPIVOTDATA("value", financials_wide!$A$3, "adsh", $E146, "tag", "InterestAndDividendIncomeOperating"), GETPIVOTDATA("value", financials_wide!$A$3, "adsh", $E146, "tag", "InterestIncomeOperating")),"")</f>
        <v>87314000000</v>
      </c>
      <c r="I146">
        <f>IFERROR(GETPIVOTDATA("value", financials_wide!$A$3, "adsh", $E146, "tag", "Liabilities"),"")</f>
        <v>1965593000000</v>
      </c>
      <c r="J146">
        <f t="shared" si="10"/>
        <v>183038000000</v>
      </c>
      <c r="K146">
        <f>IFERROR(GETPIVOTDATA("value", financials_wide!$A$3, "adsh", $E146, "tag", "NetIncomeLoss"),"")</f>
        <v>21338000000</v>
      </c>
      <c r="L146">
        <f>IFERROR(GETPIVOTDATA("value", financials_wide!$A$3, "adsh", $E146, "tag", "StockholdersEquity"),"")</f>
        <v>181117000000</v>
      </c>
      <c r="M146">
        <f t="shared" si="11"/>
        <v>11.863221011832131</v>
      </c>
      <c r="N146" s="3">
        <f t="shared" si="12"/>
        <v>9.9309746531628749E-3</v>
      </c>
      <c r="O146" t="str">
        <f t="shared" si="13"/>
        <v>Large</v>
      </c>
    </row>
    <row r="147" spans="1:15" x14ac:dyDescent="0.25">
      <c r="A147">
        <v>146</v>
      </c>
      <c r="B147">
        <v>6022</v>
      </c>
      <c r="C147" t="str">
        <v>NORTHERN TRUST CORP</v>
      </c>
      <c r="D147">
        <v>73124</v>
      </c>
      <c r="E147" t="str">
        <v>0000073124-26-000016</v>
      </c>
      <c r="F147">
        <f>IFERROR(GETPIVOTDATA("value", financials_wide!$A$3, "adsh", $E147, "tag", "Assets"),"")</f>
        <v>177132700000</v>
      </c>
      <c r="G147">
        <f>IFERROR(GETPIVOTDATA("value", financials_wide!$A$3, "adsh", $E147, "tag", "EarningsPerShareBasic"),"")</f>
        <v>8.7799999999999994</v>
      </c>
      <c r="H147">
        <f>IFERROR(IFERROR(GETPIVOTDATA("value", financials_wide!$A$3, "adsh", $E147, "tag", "InterestAndDividendIncomeOperating"), GETPIVOTDATA("value", financials_wide!$A$3, "adsh", $E147, "tag", "InterestIncomeOperating")),"")</f>
        <v>8624600000</v>
      </c>
      <c r="I147">
        <f>IFERROR(GETPIVOTDATA("value", financials_wide!$A$3, "adsh", $E147, "tag", "Liabilities"),"")</f>
        <v>164174800000</v>
      </c>
      <c r="J147">
        <f t="shared" si="10"/>
        <v>12957900000</v>
      </c>
      <c r="K147">
        <f>IFERROR(GETPIVOTDATA("value", financials_wide!$A$3, "adsh", $E147, "tag", "NetIncomeLoss"),"")</f>
        <v>1736900000</v>
      </c>
      <c r="L147">
        <f>IFERROR(GETPIVOTDATA("value", financials_wide!$A$3, "adsh", $E147, "tag", "StockholdersEquity"),"")</f>
        <v>12957900000</v>
      </c>
      <c r="M147">
        <f t="shared" si="11"/>
        <v>13.669861628813312</v>
      </c>
      <c r="N147" s="3">
        <f t="shared" si="12"/>
        <v>9.8056428880720498E-3</v>
      </c>
      <c r="O147" t="str">
        <f t="shared" si="13"/>
        <v>Large</v>
      </c>
    </row>
    <row r="148" spans="1:15" x14ac:dyDescent="0.25">
      <c r="A148">
        <v>147</v>
      </c>
      <c r="B148">
        <v>6021</v>
      </c>
      <c r="C148" t="str">
        <v>HSBC USA INC /MD/</v>
      </c>
      <c r="D148">
        <v>83246</v>
      </c>
      <c r="E148" t="str">
        <v>0000083246-26-000005</v>
      </c>
      <c r="F148">
        <f>IFERROR(GETPIVOTDATA("value", financials_wide!$A$3, "adsh", $E148, "tag", "Assets"),"")</f>
        <v>172410000000</v>
      </c>
      <c r="G148">
        <f>IFERROR(GETPIVOTDATA("value", financials_wide!$A$3, "adsh", $E148, "tag", "EarningsPerShareBasic"),"")</f>
        <v>0</v>
      </c>
      <c r="H148">
        <f>IFERROR(IFERROR(GETPIVOTDATA("value", financials_wide!$A$3, "adsh", $E148, "tag", "InterestAndDividendIncomeOperating"), GETPIVOTDATA("value", financials_wide!$A$3, "adsh", $E148, "tag", "InterestIncomeOperating")),"")</f>
        <v>7502000000</v>
      </c>
      <c r="I148">
        <f>IFERROR(GETPIVOTDATA("value", financials_wide!$A$3, "adsh", $E148, "tag", "Liabilities"),"")</f>
        <v>159971000000</v>
      </c>
      <c r="J148">
        <f t="shared" si="10"/>
        <v>12439000000</v>
      </c>
      <c r="K148">
        <f>IFERROR(GETPIVOTDATA("value", financials_wide!$A$3, "adsh", $E148, "tag", "NetIncomeLoss"),"")</f>
        <v>1101000000</v>
      </c>
      <c r="L148">
        <f>IFERROR(GETPIVOTDATA("value", financials_wide!$A$3, "adsh", $E148, "tag", "StockholdersEquity"),"")</f>
        <v>12439000000</v>
      </c>
      <c r="M148">
        <f t="shared" si="11"/>
        <v>13.860438942037142</v>
      </c>
      <c r="N148" s="3">
        <f t="shared" si="12"/>
        <v>6.385940490690795E-3</v>
      </c>
      <c r="O148" t="str">
        <f t="shared" si="13"/>
        <v>Large</v>
      </c>
    </row>
    <row r="149" spans="1:15" x14ac:dyDescent="0.25">
      <c r="A149">
        <v>148</v>
      </c>
      <c r="B149">
        <v>6021</v>
      </c>
      <c r="C149" t="str">
        <v>TRUIST FINANCIAL CORP</v>
      </c>
      <c r="D149">
        <v>92230</v>
      </c>
      <c r="E149" t="str">
        <v>0000092230-26-000030</v>
      </c>
      <c r="F149">
        <f>IFERROR(GETPIVOTDATA("value", financials_wide!$A$3, "adsh", $E149, "tag", "Assets"),"")</f>
        <v>547538000000</v>
      </c>
      <c r="G149">
        <f>IFERROR(GETPIVOTDATA("value", financials_wide!$A$3, "adsh", $E149, "tag", "EarningsPerShareBasic"),"")</f>
        <v>3.87</v>
      </c>
      <c r="H149">
        <f>IFERROR(IFERROR(GETPIVOTDATA("value", financials_wide!$A$3, "adsh", $E149, "tag", "InterestAndDividendIncomeOperating"), GETPIVOTDATA("value", financials_wide!$A$3, "adsh", $E149, "tag", "InterestIncomeOperating")),"")</f>
        <v>24542000000</v>
      </c>
      <c r="I149">
        <f>IFERROR(GETPIVOTDATA("value", financials_wide!$A$3, "adsh", $E149, "tag", "Liabilities"),"")</f>
        <v>482349000000</v>
      </c>
      <c r="J149">
        <f t="shared" si="10"/>
        <v>65189000000</v>
      </c>
      <c r="K149">
        <f>IFERROR(GETPIVOTDATA("value", financials_wide!$A$3, "adsh", $E149, "tag", "NetIncomeLoss"),"")</f>
        <v>0</v>
      </c>
      <c r="L149">
        <f>IFERROR(GETPIVOTDATA("value", financials_wide!$A$3, "adsh", $E149, "tag", "StockholdersEquity"),"")</f>
        <v>65189000000</v>
      </c>
      <c r="M149">
        <f t="shared" si="11"/>
        <v>8.3992391354369609</v>
      </c>
      <c r="N149" s="3">
        <f t="shared" si="12"/>
        <v>0</v>
      </c>
      <c r="O149" t="str">
        <f t="shared" si="13"/>
        <v>Large</v>
      </c>
    </row>
    <row r="150" spans="1:15" x14ac:dyDescent="0.25">
      <c r="A150">
        <v>149</v>
      </c>
      <c r="B150">
        <v>6022</v>
      </c>
      <c r="C150" t="str">
        <v>STATE STREET CORP</v>
      </c>
      <c r="D150">
        <v>93751</v>
      </c>
      <c r="E150" t="str">
        <v>0000093751-26-000124</v>
      </c>
      <c r="F150">
        <f>IFERROR(GETPIVOTDATA("value", financials_wide!$A$3, "adsh", $E150, "tag", "Assets"),"")</f>
        <v>366047000000</v>
      </c>
      <c r="G150">
        <f>IFERROR(GETPIVOTDATA("value", financials_wide!$A$3, "adsh", $E150, "tag", "EarningsPerShareBasic"),"")</f>
        <v>9.5500000000000007</v>
      </c>
      <c r="H150">
        <f>IFERROR(IFERROR(GETPIVOTDATA("value", financials_wide!$A$3, "adsh", $E150, "tag", "InterestAndDividendIncomeOperating"), GETPIVOTDATA("value", financials_wide!$A$3, "adsh", $E150, "tag", "InterestIncomeOperating")),"")</f>
        <v>11644000000</v>
      </c>
      <c r="I150">
        <f>IFERROR(GETPIVOTDATA("value", financials_wide!$A$3, "adsh", $E150, "tag", "Liabilities"),"")</f>
        <v>338206000000</v>
      </c>
      <c r="J150">
        <f t="shared" si="10"/>
        <v>27841000000</v>
      </c>
      <c r="K150">
        <f>IFERROR(GETPIVOTDATA("value", financials_wide!$A$3, "adsh", $E150, "tag", "NetIncomeLoss"),"")</f>
        <v>2945000000</v>
      </c>
      <c r="L150">
        <f>IFERROR(GETPIVOTDATA("value", financials_wide!$A$3, "adsh", $E150, "tag", "StockholdersEquity"),"")</f>
        <v>27841000000</v>
      </c>
      <c r="M150">
        <f t="shared" si="11"/>
        <v>13.147767680758593</v>
      </c>
      <c r="N150" s="3">
        <f t="shared" si="12"/>
        <v>8.0454149330550454E-3</v>
      </c>
      <c r="O150" t="str">
        <f t="shared" si="13"/>
        <v>Large</v>
      </c>
    </row>
    <row r="151" spans="1:15" x14ac:dyDescent="0.25">
      <c r="A151">
        <v>150</v>
      </c>
      <c r="B151">
        <v>6022</v>
      </c>
      <c r="C151" t="str">
        <v>UNIVEST FINANCIAL CORP</v>
      </c>
      <c r="D151">
        <v>102212</v>
      </c>
      <c r="E151" t="str">
        <v>0000102212-26-000012</v>
      </c>
      <c r="F151">
        <f>IFERROR(GETPIVOTDATA("value", financials_wide!$A$3, "adsh", $E151, "tag", "Assets"),"")</f>
        <v>8436897000</v>
      </c>
      <c r="G151">
        <f>IFERROR(GETPIVOTDATA("value", financials_wide!$A$3, "adsh", $E151, "tag", "EarningsPerShareBasic"),"")</f>
        <v>3.16</v>
      </c>
      <c r="H151">
        <f>IFERROR(IFERROR(GETPIVOTDATA("value", financials_wide!$A$3, "adsh", $E151, "tag", "InterestAndDividendIncomeOperating"), GETPIVOTDATA("value", financials_wide!$A$3, "adsh", $E151, "tag", "InterestIncomeOperating")),"")</f>
        <v>430486000</v>
      </c>
      <c r="I151">
        <f>IFERROR(GETPIVOTDATA("value", financials_wide!$A$3, "adsh", $E151, "tag", "Liabilities"),"")</f>
        <v>7493579000</v>
      </c>
      <c r="J151">
        <f t="shared" si="10"/>
        <v>943318000</v>
      </c>
      <c r="K151">
        <f>IFERROR(GETPIVOTDATA("value", financials_wide!$A$3, "adsh", $E151, "tag", "NetIncomeLoss"),"")</f>
        <v>90757000</v>
      </c>
      <c r="L151">
        <f>IFERROR(GETPIVOTDATA("value", financials_wide!$A$3, "adsh", $E151, "tag", "StockholdersEquity"),"")</f>
        <v>943318000</v>
      </c>
      <c r="M151">
        <f t="shared" si="11"/>
        <v>8.9438524442446763</v>
      </c>
      <c r="N151" s="3">
        <f t="shared" si="12"/>
        <v>1.0757153963121749E-2</v>
      </c>
      <c r="O151" t="str">
        <f t="shared" si="13"/>
        <v>Mid</v>
      </c>
    </row>
    <row r="152" spans="1:15" x14ac:dyDescent="0.25">
      <c r="A152">
        <v>151</v>
      </c>
      <c r="B152">
        <v>6021</v>
      </c>
      <c r="C152" t="str">
        <v>ZIONS BANCORPORATION, NATIONAL ASSOCIATION /UT/</v>
      </c>
      <c r="D152">
        <v>109380</v>
      </c>
      <c r="E152" t="str">
        <v>0000109380-26-000046</v>
      </c>
      <c r="F152">
        <f>IFERROR(GETPIVOTDATA("value", financials_wide!$A$3, "adsh", $E152, "tag", "Assets"),"")</f>
        <v>88990000000</v>
      </c>
      <c r="G152">
        <f>IFERROR(GETPIVOTDATA("value", financials_wide!$A$3, "adsh", $E152, "tag", "EarningsPerShareBasic"),"")</f>
        <v>6.01</v>
      </c>
      <c r="H152">
        <f>IFERROR(IFERROR(GETPIVOTDATA("value", financials_wide!$A$3, "adsh", $E152, "tag", "InterestAndDividendIncomeOperating"), GETPIVOTDATA("value", financials_wide!$A$3, "adsh", $E152, "tag", "InterestIncomeOperating")),"")</f>
        <v>4184000000</v>
      </c>
      <c r="I152">
        <f>IFERROR(GETPIVOTDATA("value", financials_wide!$A$3, "adsh", $E152, "tag", "Liabilities"),"")</f>
        <v>81810000000</v>
      </c>
      <c r="J152">
        <f t="shared" si="10"/>
        <v>7180000000</v>
      </c>
      <c r="K152">
        <f>IFERROR(GETPIVOTDATA("value", financials_wide!$A$3, "adsh", $E152, "tag", "NetIncomeLoss"),"")</f>
        <v>899000000</v>
      </c>
      <c r="L152">
        <f>IFERROR(GETPIVOTDATA("value", financials_wide!$A$3, "adsh", $E152, "tag", "StockholdersEquity"),"")</f>
        <v>7180000000</v>
      </c>
      <c r="M152">
        <f t="shared" si="11"/>
        <v>12.394150417827298</v>
      </c>
      <c r="N152" s="3">
        <f t="shared" si="12"/>
        <v>1.0102258680750646E-2</v>
      </c>
      <c r="O152" t="str">
        <f t="shared" si="13"/>
        <v>Large</v>
      </c>
    </row>
    <row r="153" spans="1:15" x14ac:dyDescent="0.25">
      <c r="A153">
        <v>152</v>
      </c>
      <c r="B153">
        <v>6022</v>
      </c>
      <c r="C153" t="str">
        <v>FIRST BUSEY CORP /NV/</v>
      </c>
      <c r="D153">
        <v>314489</v>
      </c>
      <c r="E153" t="str">
        <v>0000314489-26-000013</v>
      </c>
      <c r="F153">
        <f>IFERROR(GETPIVOTDATA("value", financials_wide!$A$3, "adsh", $E153, "tag", "Assets"),"")</f>
        <v>18104736000</v>
      </c>
      <c r="G153">
        <f>IFERROR(GETPIVOTDATA("value", financials_wide!$A$3, "adsh", $E153, "tag", "EarningsPerShareBasic"),"")</f>
        <v>1.49</v>
      </c>
      <c r="H153">
        <f>IFERROR(IFERROR(GETPIVOTDATA("value", financials_wide!$A$3, "adsh", $E153, "tag", "InterestAndDividendIncomeOperating"), GETPIVOTDATA("value", financials_wide!$A$3, "adsh", $E153, "tag", "InterestIncomeOperating")),"")</f>
        <v>893860000</v>
      </c>
      <c r="I153">
        <f>IFERROR(GETPIVOTDATA("value", financials_wide!$A$3, "adsh", $E153, "tag", "Liabilities"),"")</f>
        <v>15635754000</v>
      </c>
      <c r="J153">
        <f t="shared" si="10"/>
        <v>2468982000</v>
      </c>
      <c r="K153">
        <f>IFERROR(GETPIVOTDATA("value", financials_wide!$A$3, "adsh", $E153, "tag", "NetIncomeLoss"),"")</f>
        <v>135262000</v>
      </c>
      <c r="L153">
        <f>IFERROR(GETPIVOTDATA("value", financials_wide!$A$3, "adsh", $E153, "tag", "StockholdersEquity"),"")</f>
        <v>2468982000</v>
      </c>
      <c r="M153">
        <f t="shared" si="11"/>
        <v>7.3328748447740812</v>
      </c>
      <c r="N153" s="3">
        <f t="shared" si="12"/>
        <v>7.4710838092309105E-3</v>
      </c>
      <c r="O153" t="str">
        <f t="shared" si="13"/>
        <v>Mid</v>
      </c>
    </row>
    <row r="154" spans="1:15" x14ac:dyDescent="0.25">
      <c r="A154">
        <v>153</v>
      </c>
      <c r="B154">
        <v>6022</v>
      </c>
      <c r="C154" t="str">
        <v>PEOPLES BANCORP INC</v>
      </c>
      <c r="D154">
        <v>318300</v>
      </c>
      <c r="E154" t="str">
        <v>0000318300-26-000099</v>
      </c>
      <c r="F154">
        <f>IFERROR(GETPIVOTDATA("value", financials_wide!$A$3, "adsh", $E154, "tag", "Assets"),"")</f>
        <v>9649630000</v>
      </c>
      <c r="G154">
        <f>IFERROR(GETPIVOTDATA("value", financials_wide!$A$3, "adsh", $E154, "tag", "EarningsPerShareBasic"),"")</f>
        <v>3.03</v>
      </c>
      <c r="H154">
        <f>IFERROR(IFERROR(GETPIVOTDATA("value", financials_wide!$A$3, "adsh", $E154, "tag", "InterestAndDividendIncomeOperating"), GETPIVOTDATA("value", financials_wide!$A$3, "adsh", $E154, "tag", "InterestIncomeOperating")),"")</f>
        <v>514306000</v>
      </c>
      <c r="I154">
        <f>IFERROR(GETPIVOTDATA("value", financials_wide!$A$3, "adsh", $E154, "tag", "Liabilities"),"")</f>
        <v>8443028000</v>
      </c>
      <c r="J154">
        <f t="shared" si="10"/>
        <v>1206602000</v>
      </c>
      <c r="K154">
        <f>IFERROR(GETPIVOTDATA("value", financials_wide!$A$3, "adsh", $E154, "tag", "NetIncomeLoss"),"")</f>
        <v>106778000</v>
      </c>
      <c r="L154">
        <f>IFERROR(GETPIVOTDATA("value", financials_wide!$A$3, "adsh", $E154, "tag", "StockholdersEquity"),"")</f>
        <v>1206602000</v>
      </c>
      <c r="M154">
        <f t="shared" si="11"/>
        <v>7.9973595270022759</v>
      </c>
      <c r="N154" s="3">
        <f t="shared" si="12"/>
        <v>1.1065501993340677E-2</v>
      </c>
      <c r="O154" t="str">
        <f t="shared" si="13"/>
        <v>Mid</v>
      </c>
    </row>
    <row r="155" spans="1:15" x14ac:dyDescent="0.25">
      <c r="A155">
        <v>154</v>
      </c>
      <c r="B155">
        <v>6022</v>
      </c>
      <c r="C155" t="str">
        <v>AMERIS BANCORP</v>
      </c>
      <c r="D155">
        <v>351569</v>
      </c>
      <c r="E155" t="str">
        <v>0000351569-26-000050</v>
      </c>
      <c r="F155">
        <f>IFERROR(GETPIVOTDATA("value", financials_wide!$A$3, "adsh", $E155, "tag", "Assets"),"")</f>
        <v>27515879000</v>
      </c>
      <c r="G155">
        <f>IFERROR(GETPIVOTDATA("value", financials_wide!$A$3, "adsh", $E155, "tag", "EarningsPerShareBasic"),"")</f>
        <v>6.02</v>
      </c>
      <c r="H155">
        <f>IFERROR(IFERROR(GETPIVOTDATA("value", financials_wide!$A$3, "adsh", $E155, "tag", "InterestAndDividendIncomeOperating"), GETPIVOTDATA("value", financials_wide!$A$3, "adsh", $E155, "tag", "InterestIncomeOperating")),"")</f>
        <v>1394525000</v>
      </c>
      <c r="I155">
        <f>IFERROR(GETPIVOTDATA("value", financials_wide!$A$3, "adsh", $E155, "tag", "Liabilities"),"")</f>
        <v>23439851000</v>
      </c>
      <c r="J155">
        <f t="shared" si="10"/>
        <v>4076028000</v>
      </c>
      <c r="K155">
        <f>IFERROR(GETPIVOTDATA("value", financials_wide!$A$3, "adsh", $E155, "tag", "NetIncomeLoss"),"")</f>
        <v>412154000</v>
      </c>
      <c r="L155">
        <f>IFERROR(GETPIVOTDATA("value", financials_wide!$A$3, "adsh", $E155, "tag", "StockholdersEquity"),"")</f>
        <v>4076028000</v>
      </c>
      <c r="M155">
        <f t="shared" si="11"/>
        <v>6.7506599562122735</v>
      </c>
      <c r="N155" s="3">
        <f t="shared" si="12"/>
        <v>1.4978769168159229E-2</v>
      </c>
      <c r="O155" t="str">
        <f t="shared" si="13"/>
        <v>Large</v>
      </c>
    </row>
    <row r="156" spans="1:15" x14ac:dyDescent="0.25">
      <c r="A156">
        <v>155</v>
      </c>
      <c r="B156">
        <v>6022</v>
      </c>
      <c r="C156" t="str">
        <v>TRICO BANCSHARES /</v>
      </c>
      <c r="D156">
        <v>356171</v>
      </c>
      <c r="E156" t="str">
        <v>0000356171-26-000010</v>
      </c>
      <c r="F156">
        <f>IFERROR(GETPIVOTDATA("value", financials_wide!$A$3, "adsh", $E156, "tag", "Assets"),"")</f>
        <v>9822063000</v>
      </c>
      <c r="G156">
        <f>IFERROR(GETPIVOTDATA("value", financials_wide!$A$3, "adsh", $E156, "tag", "EarningsPerShareBasic"),"")</f>
        <v>3.72</v>
      </c>
      <c r="H156">
        <f>IFERROR(IFERROR(GETPIVOTDATA("value", financials_wide!$A$3, "adsh", $E156, "tag", "InterestAndDividendIncomeOperating"), GETPIVOTDATA("value", financials_wide!$A$3, "adsh", $E156, "tag", "InterestIncomeOperating")),"")</f>
        <v>470572000</v>
      </c>
      <c r="I156">
        <f>IFERROR(GETPIVOTDATA("value", financials_wide!$A$3, "adsh", $E156, "tag", "Liabilities"),"")</f>
        <v>8494062000</v>
      </c>
      <c r="J156">
        <f t="shared" si="10"/>
        <v>1328001000</v>
      </c>
      <c r="K156">
        <f>IFERROR(GETPIVOTDATA("value", financials_wide!$A$3, "adsh", $E156, "tag", "NetIncomeLoss"),"")</f>
        <v>121558000</v>
      </c>
      <c r="L156">
        <f>IFERROR(GETPIVOTDATA("value", financials_wide!$A$3, "adsh", $E156, "tag", "StockholdersEquity"),"")</f>
        <v>1328001000</v>
      </c>
      <c r="M156">
        <f t="shared" si="11"/>
        <v>7.3961262077362893</v>
      </c>
      <c r="N156" s="3">
        <f t="shared" si="12"/>
        <v>1.2376015099882785E-2</v>
      </c>
      <c r="O156" t="str">
        <f t="shared" si="13"/>
        <v>Mid</v>
      </c>
    </row>
    <row r="157" spans="1:15" x14ac:dyDescent="0.25">
      <c r="A157">
        <v>156</v>
      </c>
      <c r="B157">
        <v>6021</v>
      </c>
      <c r="C157" t="str">
        <v>FULTON FINANCIAL CORP</v>
      </c>
      <c r="D157">
        <v>700564</v>
      </c>
      <c r="E157" t="str">
        <v>0000700564-26-000006</v>
      </c>
      <c r="F157">
        <f>IFERROR(GETPIVOTDATA("value", financials_wide!$A$3, "adsh", $E157, "tag", "Assets"),"")</f>
        <v>32118400000</v>
      </c>
      <c r="G157">
        <f>IFERROR(GETPIVOTDATA("value", financials_wide!$A$3, "adsh", $E157, "tag", "EarningsPerShareBasic"),"")</f>
        <v>2.1</v>
      </c>
      <c r="H157">
        <f>IFERROR(IFERROR(GETPIVOTDATA("value", financials_wide!$A$3, "adsh", $E157, "tag", "InterestAndDividendIncomeOperating"), GETPIVOTDATA("value", financials_wide!$A$3, "adsh", $E157, "tag", "InterestIncomeOperating")),"")</f>
        <v>1616874000</v>
      </c>
      <c r="I157">
        <f>IFERROR(GETPIVOTDATA("value", financials_wide!$A$3, "adsh", $E157, "tag", "Liabilities"),"")</f>
        <v>28627953000</v>
      </c>
      <c r="J157">
        <f t="shared" si="10"/>
        <v>3490447000</v>
      </c>
      <c r="K157">
        <f>IFERROR(GETPIVOTDATA("value", financials_wide!$A$3, "adsh", $E157, "tag", "NetIncomeLoss"),"")</f>
        <v>391609000</v>
      </c>
      <c r="L157">
        <f>IFERROR(GETPIVOTDATA("value", financials_wide!$A$3, "adsh", $E157, "tag", "StockholdersEquity"),"")</f>
        <v>3490447000</v>
      </c>
      <c r="M157">
        <f t="shared" si="11"/>
        <v>9.20180137386415</v>
      </c>
      <c r="N157" s="3">
        <f t="shared" si="12"/>
        <v>1.2192668377005082E-2</v>
      </c>
      <c r="O157" t="str">
        <f t="shared" si="13"/>
        <v>Large</v>
      </c>
    </row>
    <row r="158" spans="1:15" x14ac:dyDescent="0.25">
      <c r="A158">
        <v>157</v>
      </c>
      <c r="B158">
        <v>6022</v>
      </c>
      <c r="C158" t="str">
        <v>CENTRAL PACIFIC FINANCIAL CORP</v>
      </c>
      <c r="D158">
        <v>701347</v>
      </c>
      <c r="E158" t="str">
        <v>0000701347-26-000021</v>
      </c>
      <c r="F158">
        <f>IFERROR(GETPIVOTDATA("value", financials_wide!$A$3, "adsh", $E158, "tag", "Assets"),"")</f>
        <v>7409241000</v>
      </c>
      <c r="G158">
        <f>IFERROR(GETPIVOTDATA("value", financials_wide!$A$3, "adsh", $E158, "tag", "EarningsPerShareBasic"),"")</f>
        <v>2.88</v>
      </c>
      <c r="H158">
        <f>IFERROR(IFERROR(GETPIVOTDATA("value", financials_wide!$A$3, "adsh", $E158, "tag", "InterestAndDividendIncomeOperating"), GETPIVOTDATA("value", financials_wide!$A$3, "adsh", $E158, "tag", "InterestIncomeOperating")),"")</f>
        <v>314162000</v>
      </c>
      <c r="I158">
        <f>IFERROR(GETPIVOTDATA("value", financials_wide!$A$3, "adsh", $E158, "tag", "Liabilities"),"")</f>
        <v>6816660000</v>
      </c>
      <c r="J158">
        <f t="shared" si="10"/>
        <v>592581000</v>
      </c>
      <c r="K158">
        <f>IFERROR(GETPIVOTDATA("value", financials_wide!$A$3, "adsh", $E158, "tag", "NetIncomeLoss"),"")</f>
        <v>77480000</v>
      </c>
      <c r="L158">
        <f>IFERROR(GETPIVOTDATA("value", financials_wide!$A$3, "adsh", $E158, "tag", "StockholdersEquity"),"")</f>
        <v>592581000</v>
      </c>
      <c r="M158">
        <f t="shared" si="11"/>
        <v>12.503338784064963</v>
      </c>
      <c r="N158" s="3">
        <f t="shared" si="12"/>
        <v>1.0457211474157744E-2</v>
      </c>
      <c r="O158" t="str">
        <f t="shared" si="13"/>
        <v>Mid</v>
      </c>
    </row>
    <row r="159" spans="1:15" x14ac:dyDescent="0.25">
      <c r="A159">
        <v>158</v>
      </c>
      <c r="B159">
        <v>6022</v>
      </c>
      <c r="C159" t="str">
        <v>SOUTHSIDE BANCSHARES INC</v>
      </c>
      <c r="D159">
        <v>705432</v>
      </c>
      <c r="E159" t="str">
        <v>0000705432-26-000034</v>
      </c>
      <c r="F159">
        <f>IFERROR(GETPIVOTDATA("value", financials_wide!$A$3, "adsh", $E159, "tag", "Assets"),"")</f>
        <v>8514590000</v>
      </c>
      <c r="G159">
        <f>IFERROR(GETPIVOTDATA("value", financials_wide!$A$3, "adsh", $E159, "tag", "EarningsPerShareBasic"),"")</f>
        <v>2.2999999999999998</v>
      </c>
      <c r="H159">
        <f>IFERROR(IFERROR(GETPIVOTDATA("value", financials_wide!$A$3, "adsh", $E159, "tag", "InterestAndDividendIncomeOperating"), GETPIVOTDATA("value", financials_wide!$A$3, "adsh", $E159, "tag", "InterestIncomeOperating")),"")</f>
        <v>403074000</v>
      </c>
      <c r="I159">
        <f>IFERROR(GETPIVOTDATA("value", financials_wide!$A$3, "adsh", $E159, "tag", "Liabilities"),"")</f>
        <v>7666975000</v>
      </c>
      <c r="J159">
        <f t="shared" si="10"/>
        <v>847615000</v>
      </c>
      <c r="K159">
        <f>IFERROR(GETPIVOTDATA("value", financials_wide!$A$3, "adsh", $E159, "tag", "NetIncomeLoss"),"")</f>
        <v>69220000</v>
      </c>
      <c r="L159">
        <f>IFERROR(GETPIVOTDATA("value", financials_wide!$A$3, "adsh", $E159, "tag", "StockholdersEquity"),"")</f>
        <v>847615000</v>
      </c>
      <c r="M159">
        <f t="shared" si="11"/>
        <v>10.045350778360458</v>
      </c>
      <c r="N159" s="3">
        <f t="shared" si="12"/>
        <v>8.1295752349790189E-3</v>
      </c>
      <c r="O159" t="str">
        <f t="shared" si="13"/>
        <v>Mid</v>
      </c>
    </row>
    <row r="160" spans="1:15" x14ac:dyDescent="0.25">
      <c r="A160">
        <v>159</v>
      </c>
      <c r="B160">
        <v>6021</v>
      </c>
      <c r="C160" t="str">
        <v>OLD NATIONAL BANCORP /IN/</v>
      </c>
      <c r="D160">
        <v>707179</v>
      </c>
      <c r="E160" t="str">
        <v>0000707179-26-000010</v>
      </c>
      <c r="F160">
        <f>IFERROR(GETPIVOTDATA("value", financials_wide!$A$3, "adsh", $E160, "tag", "Assets"),"")</f>
        <v>72151967000</v>
      </c>
      <c r="G160">
        <f>IFERROR(GETPIVOTDATA("value", financials_wide!$A$3, "adsh", $E160, "tag", "EarningsPerShareBasic"),"")</f>
        <v>1.8</v>
      </c>
      <c r="H160">
        <f>IFERROR(IFERROR(GETPIVOTDATA("value", financials_wide!$A$3, "adsh", $E160, "tag", "InterestAndDividendIncomeOperating"), GETPIVOTDATA("value", financials_wide!$A$3, "adsh", $E160, "tag", "InterestIncomeOperating")),"")</f>
        <v>3269853000</v>
      </c>
      <c r="I160">
        <f>IFERROR(GETPIVOTDATA("value", financials_wide!$A$3, "adsh", $E160, "tag", "Liabilities"),"")</f>
        <v>63657179000</v>
      </c>
      <c r="J160">
        <f t="shared" si="10"/>
        <v>8494788000</v>
      </c>
      <c r="K160">
        <f>IFERROR(GETPIVOTDATA("value", financials_wide!$A$3, "adsh", $E160, "tag", "NetIncomeLoss"),"")</f>
        <v>669257000</v>
      </c>
      <c r="L160">
        <f>IFERROR(GETPIVOTDATA("value", financials_wide!$A$3, "adsh", $E160, "tag", "StockholdersEquity"),"")</f>
        <v>8494788000</v>
      </c>
      <c r="M160">
        <f t="shared" si="11"/>
        <v>8.4936748274353633</v>
      </c>
      <c r="N160" s="3">
        <f t="shared" si="12"/>
        <v>9.275658416907747E-3</v>
      </c>
      <c r="O160" t="str">
        <f t="shared" si="13"/>
        <v>Large</v>
      </c>
    </row>
    <row r="161" spans="1:15" x14ac:dyDescent="0.25">
      <c r="A161">
        <v>160</v>
      </c>
      <c r="B161">
        <v>6021</v>
      </c>
      <c r="C161" t="str">
        <v>FIRST FINANCIAL BANCORP /OH/</v>
      </c>
      <c r="D161">
        <v>708955</v>
      </c>
      <c r="E161" t="str">
        <v>0000708955-26-000028</v>
      </c>
      <c r="F161">
        <f>IFERROR(GETPIVOTDATA("value", financials_wide!$A$3, "adsh", $E161, "tag", "Assets"),"")</f>
        <v>21129379000</v>
      </c>
      <c r="G161">
        <f>IFERROR(GETPIVOTDATA("value", financials_wide!$A$3, "adsh", $E161, "tag", "EarningsPerShareBasic"),"")</f>
        <v>2.68</v>
      </c>
      <c r="H161">
        <f>IFERROR(IFERROR(GETPIVOTDATA("value", financials_wide!$A$3, "adsh", $E161, "tag", "InterestAndDividendIncomeOperating"), GETPIVOTDATA("value", financials_wide!$A$3, "adsh", $E161, "tag", "InterestIncomeOperating")),"")</f>
        <v>1001904000</v>
      </c>
      <c r="I161">
        <f>IFERROR(GETPIVOTDATA("value", financials_wide!$A$3, "adsh", $E161, "tag", "Liabilities"),"")</f>
        <v>18360163000</v>
      </c>
      <c r="J161">
        <f t="shared" si="10"/>
        <v>2769216000</v>
      </c>
      <c r="K161">
        <f>IFERROR(GETPIVOTDATA("value", financials_wide!$A$3, "adsh", $E161, "tag", "NetIncomeLoss"),"")</f>
        <v>255605000</v>
      </c>
      <c r="L161">
        <f>IFERROR(GETPIVOTDATA("value", financials_wide!$A$3, "adsh", $E161, "tag", "StockholdersEquity"),"")</f>
        <v>2769216000</v>
      </c>
      <c r="M161">
        <f t="shared" si="11"/>
        <v>7.6300942216136267</v>
      </c>
      <c r="N161" s="3">
        <f t="shared" si="12"/>
        <v>1.209713735552758E-2</v>
      </c>
      <c r="O161" t="str">
        <f t="shared" si="13"/>
        <v>Large</v>
      </c>
    </row>
    <row r="162" spans="1:15" x14ac:dyDescent="0.25">
      <c r="A162">
        <v>161</v>
      </c>
      <c r="B162">
        <v>6021</v>
      </c>
      <c r="C162" t="str">
        <v>FIRST MERCHANTS CORP</v>
      </c>
      <c r="D162">
        <v>712534</v>
      </c>
      <c r="E162" t="str">
        <v>0000712534-26-000022</v>
      </c>
      <c r="F162">
        <f>IFERROR(GETPIVOTDATA("value", financials_wide!$A$3, "adsh", $E162, "tag", "Assets"),"")</f>
        <v>19025101000</v>
      </c>
      <c r="G162">
        <f>IFERROR(GETPIVOTDATA("value", financials_wide!$A$3, "adsh", $E162, "tag", "EarningsPerShareBasic"),"")</f>
        <v>3.9</v>
      </c>
      <c r="H162">
        <f>IFERROR(IFERROR(GETPIVOTDATA("value", financials_wide!$A$3, "adsh", $E162, "tag", "InterestAndDividendIncomeOperating"), GETPIVOTDATA("value", financials_wide!$A$3, "adsh", $E162, "tag", "InterestIncomeOperating")),"")</f>
        <v>924792000</v>
      </c>
      <c r="I162">
        <f>IFERROR(GETPIVOTDATA("value", financials_wide!$A$3, "adsh", $E162, "tag", "Liabilities"),"")</f>
        <v>16558434000</v>
      </c>
      <c r="J162">
        <f t="shared" si="10"/>
        <v>2466667000</v>
      </c>
      <c r="K162">
        <f>IFERROR(GETPIVOTDATA("value", financials_wide!$A$3, "adsh", $E162, "tag", "NetIncomeLoss"),"")</f>
        <v>226001000</v>
      </c>
      <c r="L162">
        <f>IFERROR(GETPIVOTDATA("value", financials_wide!$A$3, "adsh", $E162, "tag", "StockholdersEquity"),"")</f>
        <v>2466667000</v>
      </c>
      <c r="M162">
        <f t="shared" si="11"/>
        <v>7.7128777415030081</v>
      </c>
      <c r="N162" s="3">
        <f t="shared" si="12"/>
        <v>1.1879095937519596E-2</v>
      </c>
      <c r="O162" t="str">
        <f t="shared" si="13"/>
        <v>Mid</v>
      </c>
    </row>
    <row r="163" spans="1:15" x14ac:dyDescent="0.25">
      <c r="A163">
        <v>162</v>
      </c>
      <c r="B163">
        <v>6021</v>
      </c>
      <c r="C163" t="str">
        <v>FIRST COMMONWEALTH FINANCIAL CORP /PA/</v>
      </c>
      <c r="D163">
        <v>712537</v>
      </c>
      <c r="E163" t="str">
        <v>0000712537-26-000013</v>
      </c>
      <c r="F163">
        <f>IFERROR(GETPIVOTDATA("value", financials_wide!$A$3, "adsh", $E163, "tag", "Assets"),"")</f>
        <v>12343036000</v>
      </c>
      <c r="G163">
        <f>IFERROR(GETPIVOTDATA("value", financials_wide!$A$3, "adsh", $E163, "tag", "EarningsPerShareBasic"),"")</f>
        <v>1.48</v>
      </c>
      <c r="H163">
        <f>IFERROR(IFERROR(GETPIVOTDATA("value", financials_wide!$A$3, "adsh", $E163, "tag", "InterestAndDividendIncomeOperating"), GETPIVOTDATA("value", financials_wide!$A$3, "adsh", $E163, "tag", "InterestIncomeOperating")),"")</f>
        <v>632688000</v>
      </c>
      <c r="I163">
        <f>IFERROR(GETPIVOTDATA("value", financials_wide!$A$3, "adsh", $E163, "tag", "Liabilities"),"")</f>
        <v>10788660000</v>
      </c>
      <c r="J163">
        <f t="shared" si="10"/>
        <v>1554376000</v>
      </c>
      <c r="K163">
        <f>IFERROR(GETPIVOTDATA("value", financials_wide!$A$3, "adsh", $E163, "tag", "NetIncomeLoss"),"")</f>
        <v>152302000</v>
      </c>
      <c r="L163">
        <f>IFERROR(GETPIVOTDATA("value", financials_wide!$A$3, "adsh", $E163, "tag", "StockholdersEquity"),"")</f>
        <v>1554376000</v>
      </c>
      <c r="M163">
        <f t="shared" si="11"/>
        <v>7.9408302753001845</v>
      </c>
      <c r="N163" s="3">
        <f t="shared" si="12"/>
        <v>1.2339103604656098E-2</v>
      </c>
      <c r="O163" t="str">
        <f t="shared" si="13"/>
        <v>Mid</v>
      </c>
    </row>
    <row r="164" spans="1:15" x14ac:dyDescent="0.25">
      <c r="A164">
        <v>163</v>
      </c>
      <c r="B164">
        <v>6021</v>
      </c>
      <c r="C164" t="str">
        <v>PNC FINANCIAL SERVICES GROUP, INC.</v>
      </c>
      <c r="D164">
        <v>713676</v>
      </c>
      <c r="E164" t="str">
        <v>0000713676-26-000020</v>
      </c>
      <c r="F164">
        <f>IFERROR(GETPIVOTDATA("value", financials_wide!$A$3, "adsh", $E164, "tag", "Assets"),"")</f>
        <v>573572000000</v>
      </c>
      <c r="G164">
        <f>IFERROR(GETPIVOTDATA("value", financials_wide!$A$3, "adsh", $E164, "tag", "EarningsPerShareBasic"),"")</f>
        <v>16.600000000000001</v>
      </c>
      <c r="H164">
        <f>IFERROR(IFERROR(GETPIVOTDATA("value", financials_wide!$A$3, "adsh", $E164, "tag", "InterestAndDividendIncomeOperating"), GETPIVOTDATA("value", financials_wide!$A$3, "adsh", $E164, "tag", "InterestIncomeOperating")),"")</f>
        <v>25307000000</v>
      </c>
      <c r="I164">
        <f>IFERROR(GETPIVOTDATA("value", financials_wide!$A$3, "adsh", $E164, "tag", "Liabilities"),"")</f>
        <v>512936000000</v>
      </c>
      <c r="J164">
        <f t="shared" si="10"/>
        <v>60636000000</v>
      </c>
      <c r="K164">
        <f>IFERROR(GETPIVOTDATA("value", financials_wide!$A$3, "adsh", $E164, "tag", "NetIncomeLoss"),"")</f>
        <v>0</v>
      </c>
      <c r="L164">
        <f>IFERROR(GETPIVOTDATA("value", financials_wide!$A$3, "adsh", $E164, "tag", "StockholdersEquity"),"")</f>
        <v>60585000000</v>
      </c>
      <c r="M164">
        <f t="shared" si="11"/>
        <v>9.4672278616819341</v>
      </c>
      <c r="N164" s="3">
        <f t="shared" si="12"/>
        <v>0</v>
      </c>
      <c r="O164" t="str">
        <f t="shared" si="13"/>
        <v>Large</v>
      </c>
    </row>
    <row r="165" spans="1:15" x14ac:dyDescent="0.25">
      <c r="A165">
        <v>164</v>
      </c>
      <c r="B165">
        <v>6021</v>
      </c>
      <c r="C165" t="str">
        <v>VALLEY NATIONAL BANCORP</v>
      </c>
      <c r="D165">
        <v>714310</v>
      </c>
      <c r="E165" t="str">
        <v>0000714310-26-000017</v>
      </c>
      <c r="F165">
        <f>IFERROR(GETPIVOTDATA("value", financials_wide!$A$3, "adsh", $E165, "tag", "Assets"),"")</f>
        <v>64132725000</v>
      </c>
      <c r="G165">
        <f>IFERROR(GETPIVOTDATA("value", financials_wide!$A$3, "adsh", $E165, "tag", "EarningsPerShareBasic"),"")</f>
        <v>1.02</v>
      </c>
      <c r="H165">
        <f>IFERROR(IFERROR(GETPIVOTDATA("value", financials_wide!$A$3, "adsh", $E165, "tag", "InterestAndDividendIncomeOperating"), GETPIVOTDATA("value", financials_wide!$A$3, "adsh", $E165, "tag", "InterestIncomeOperating")),"")</f>
        <v>3232484000</v>
      </c>
      <c r="I165">
        <f>IFERROR(GETPIVOTDATA("value", financials_wide!$A$3, "adsh", $E165, "tag", "Liabilities"),"")</f>
        <v>56325027000</v>
      </c>
      <c r="J165">
        <f t="shared" si="10"/>
        <v>7807698000</v>
      </c>
      <c r="K165">
        <f>IFERROR(GETPIVOTDATA("value", financials_wide!$A$3, "adsh", $E165, "tag", "NetIncomeLoss"),"")</f>
        <v>597983000</v>
      </c>
      <c r="L165">
        <f>IFERROR(GETPIVOTDATA("value", financials_wide!$A$3, "adsh", $E165, "tag", "StockholdersEquity"),"")</f>
        <v>7807698000</v>
      </c>
      <c r="M165">
        <f t="shared" si="11"/>
        <v>8.2140376074996748</v>
      </c>
      <c r="N165" s="3">
        <f t="shared" si="12"/>
        <v>9.3241476952679002E-3</v>
      </c>
      <c r="O165" t="str">
        <f t="shared" si="13"/>
        <v>Large</v>
      </c>
    </row>
    <row r="166" spans="1:15" x14ac:dyDescent="0.25">
      <c r="A166">
        <v>165</v>
      </c>
      <c r="B166">
        <v>6022</v>
      </c>
      <c r="C166" t="str">
        <v>GERMAN AMERICAN BANCORP, INC.</v>
      </c>
      <c r="D166">
        <v>714395</v>
      </c>
      <c r="E166" t="str">
        <v>0000714395-26-000011</v>
      </c>
      <c r="F166">
        <f>IFERROR(GETPIVOTDATA("value", financials_wide!$A$3, "adsh", $E166, "tag", "Assets"),"")</f>
        <v>8388780000</v>
      </c>
      <c r="G166">
        <f>IFERROR(GETPIVOTDATA("value", financials_wide!$A$3, "adsh", $E166, "tag", "EarningsPerShareBasic"),"")</f>
        <v>3.06</v>
      </c>
      <c r="H166">
        <f>IFERROR(IFERROR(GETPIVOTDATA("value", financials_wide!$A$3, "adsh", $E166, "tag", "InterestAndDividendIncomeOperating"), GETPIVOTDATA("value", financials_wide!$A$3, "adsh", $E166, "tag", "InterestIncomeOperating")),"")</f>
        <v>420089000</v>
      </c>
      <c r="I166">
        <f>IFERROR(GETPIVOTDATA("value", financials_wide!$A$3, "adsh", $E166, "tag", "Liabilities"),"")</f>
        <v>7226455000</v>
      </c>
      <c r="J166">
        <f t="shared" si="10"/>
        <v>1162325000</v>
      </c>
      <c r="K166">
        <f>IFERROR(GETPIVOTDATA("value", financials_wide!$A$3, "adsh", $E166, "tag", "NetIncomeLoss"),"")</f>
        <v>112635000</v>
      </c>
      <c r="L166">
        <f>IFERROR(GETPIVOTDATA("value", financials_wide!$A$3, "adsh", $E166, "tag", "StockholdersEquity"),"")</f>
        <v>1162325000</v>
      </c>
      <c r="M166">
        <f t="shared" si="11"/>
        <v>7.2172413051427098</v>
      </c>
      <c r="N166" s="3">
        <f t="shared" si="12"/>
        <v>1.3426863024182301E-2</v>
      </c>
      <c r="O166" t="str">
        <f t="shared" si="13"/>
        <v>Mid</v>
      </c>
    </row>
    <row r="167" spans="1:15" x14ac:dyDescent="0.25">
      <c r="A167">
        <v>166</v>
      </c>
      <c r="B167">
        <v>6022</v>
      </c>
      <c r="C167" t="str">
        <v>RENASANT CORP</v>
      </c>
      <c r="D167">
        <v>715072</v>
      </c>
      <c r="E167" t="str">
        <v>0000715072-26-000017</v>
      </c>
      <c r="F167">
        <f>IFERROR(GETPIVOTDATA("value", financials_wide!$A$3, "adsh", $E167, "tag", "Assets"),"")</f>
        <v>26751426000</v>
      </c>
      <c r="G167">
        <f>IFERROR(GETPIVOTDATA("value", financials_wide!$A$3, "adsh", $E167, "tag", "EarningsPerShareBasic"),"")</f>
        <v>2.09</v>
      </c>
      <c r="H167">
        <f>IFERROR(IFERROR(GETPIVOTDATA("value", financials_wide!$A$3, "adsh", $E167, "tag", "InterestAndDividendIncomeOperating"), GETPIVOTDATA("value", financials_wide!$A$3, "adsh", $E167, "tag", "InterestIncomeOperating")),"")</f>
        <v>1262259000</v>
      </c>
      <c r="I167">
        <f>IFERROR(GETPIVOTDATA("value", financials_wide!$A$3, "adsh", $E167, "tag", "Liabilities"),"")</f>
        <v>22866521000</v>
      </c>
      <c r="J167">
        <f t="shared" si="10"/>
        <v>3884905000</v>
      </c>
      <c r="K167">
        <f>IFERROR(GETPIVOTDATA("value", financials_wide!$A$3, "adsh", $E167, "tag", "NetIncomeLoss"),"")</f>
        <v>181272000</v>
      </c>
      <c r="L167">
        <f>IFERROR(GETPIVOTDATA("value", financials_wide!$A$3, "adsh", $E167, "tag", "StockholdersEquity"),"")</f>
        <v>3884905000</v>
      </c>
      <c r="M167">
        <f t="shared" si="11"/>
        <v>6.8859923215625605</v>
      </c>
      <c r="N167" s="3">
        <f t="shared" si="12"/>
        <v>6.7761621380482669E-3</v>
      </c>
      <c r="O167" t="str">
        <f t="shared" si="13"/>
        <v>Large</v>
      </c>
    </row>
    <row r="168" spans="1:15" x14ac:dyDescent="0.25">
      <c r="A168">
        <v>167</v>
      </c>
      <c r="B168">
        <v>6022</v>
      </c>
      <c r="C168" t="str">
        <v>S&amp;T BANCORP INC</v>
      </c>
      <c r="D168">
        <v>719220</v>
      </c>
      <c r="E168" t="str">
        <v>0000719220-26-000030</v>
      </c>
      <c r="F168">
        <f>IFERROR(GETPIVOTDATA("value", financials_wide!$A$3, "adsh", $E168, "tag", "Assets"),"")</f>
        <v>9870980000</v>
      </c>
      <c r="G168">
        <f>IFERROR(GETPIVOTDATA("value", financials_wide!$A$3, "adsh", $E168, "tag", "EarningsPerShareBasic"),"")</f>
        <v>3.51</v>
      </c>
      <c r="H168">
        <f>IFERROR(IFERROR(GETPIVOTDATA("value", financials_wide!$A$3, "adsh", $E168, "tag", "InterestAndDividendIncomeOperating"), GETPIVOTDATA("value", financials_wide!$A$3, "adsh", $E168, "tag", "InterestIncomeOperating")),"")</f>
        <v>516490000</v>
      </c>
      <c r="I168">
        <f>IFERROR(GETPIVOTDATA("value", financials_wide!$A$3, "adsh", $E168, "tag", "Liabilities"),"")</f>
        <v>8407103000</v>
      </c>
      <c r="J168">
        <f t="shared" si="10"/>
        <v>1463877000</v>
      </c>
      <c r="K168">
        <f>IFERROR(GETPIVOTDATA("value", financials_wide!$A$3, "adsh", $E168, "tag", "NetIncomeLoss"),"")</f>
        <v>134230000</v>
      </c>
      <c r="L168">
        <f>IFERROR(GETPIVOTDATA("value", financials_wide!$A$3, "adsh", $E168, "tag", "StockholdersEquity"),"")</f>
        <v>1463877000</v>
      </c>
      <c r="M168">
        <f t="shared" si="11"/>
        <v>6.7430392034303432</v>
      </c>
      <c r="N168" s="3">
        <f t="shared" si="12"/>
        <v>1.359844716532705E-2</v>
      </c>
      <c r="O168" t="str">
        <f t="shared" si="13"/>
        <v>Mid</v>
      </c>
    </row>
    <row r="169" spans="1:15" x14ac:dyDescent="0.25">
      <c r="A169">
        <v>168</v>
      </c>
      <c r="B169">
        <v>6022</v>
      </c>
      <c r="C169" t="str">
        <v>LAKELAND FINANCIAL CORP</v>
      </c>
      <c r="D169">
        <v>721994</v>
      </c>
      <c r="E169" t="str">
        <v>0000721994-26-000018</v>
      </c>
      <c r="F169">
        <f>IFERROR(GETPIVOTDATA("value", financials_wide!$A$3, "adsh", $E169, "tag", "Assets"),"")</f>
        <v>6990022000</v>
      </c>
      <c r="G169">
        <f>IFERROR(GETPIVOTDATA("value", financials_wide!$A$3, "adsh", $E169, "tag", "EarningsPerShareBasic"),"")</f>
        <v>4.0199999999999996</v>
      </c>
      <c r="H169">
        <f>IFERROR(IFERROR(GETPIVOTDATA("value", financials_wide!$A$3, "adsh", $E169, "tag", "InterestAndDividendIncomeOperating"), GETPIVOTDATA("value", financials_wide!$A$3, "adsh", $E169, "tag", "InterestIncomeOperating")),"")</f>
        <v>373735000</v>
      </c>
      <c r="I169">
        <f>IFERROR(GETPIVOTDATA("value", financials_wide!$A$3, "adsh", $E169, "tag", "Liabilities"),"")</f>
        <v>6227530000</v>
      </c>
      <c r="J169">
        <f t="shared" si="10"/>
        <v>762492000</v>
      </c>
      <c r="K169">
        <f>IFERROR(GETPIVOTDATA("value", financials_wide!$A$3, "adsh", $E169, "tag", "NetIncomeLoss"),"")</f>
        <v>103361000</v>
      </c>
      <c r="L169">
        <f>IFERROR(GETPIVOTDATA("value", financials_wide!$A$3, "adsh", $E169, "tag", "StockholdersEquity"),"")</f>
        <v>762403000</v>
      </c>
      <c r="M169">
        <f t="shared" si="11"/>
        <v>9.1684083089914381</v>
      </c>
      <c r="N169" s="3">
        <f t="shared" si="12"/>
        <v>1.478693486229371E-2</v>
      </c>
      <c r="O169" t="str">
        <f t="shared" si="13"/>
        <v>Mid</v>
      </c>
    </row>
    <row r="170" spans="1:15" x14ac:dyDescent="0.25">
      <c r="A170">
        <v>169</v>
      </c>
      <c r="B170">
        <v>6022</v>
      </c>
      <c r="C170" t="str">
        <v>CAPITAL CITY BANK GROUP INC</v>
      </c>
      <c r="D170">
        <v>726601</v>
      </c>
      <c r="E170" t="str">
        <v>0000726601-26-000007</v>
      </c>
      <c r="F170">
        <f>IFERROR(GETPIVOTDATA("value", financials_wide!$A$3, "adsh", $E170, "tag", "Assets"),"")</f>
        <v>4385765000</v>
      </c>
      <c r="G170">
        <f>IFERROR(GETPIVOTDATA("value", financials_wide!$A$3, "adsh", $E170, "tag", "EarningsPerShareBasic"),"")</f>
        <v>3.61</v>
      </c>
      <c r="H170">
        <f>IFERROR(IFERROR(GETPIVOTDATA("value", financials_wide!$A$3, "adsh", $E170, "tag", "InterestAndDividendIncomeOperating"), GETPIVOTDATA("value", financials_wide!$A$3, "adsh", $E170, "tag", "InterestIncomeOperating")),"")</f>
        <v>204387000</v>
      </c>
      <c r="I170">
        <f>IFERROR(GETPIVOTDATA("value", financials_wide!$A$3, "adsh", $E170, "tag", "Liabilities"),"")</f>
        <v>3832914000</v>
      </c>
      <c r="J170">
        <f t="shared" si="10"/>
        <v>552851000</v>
      </c>
      <c r="K170">
        <f>IFERROR(GETPIVOTDATA("value", financials_wide!$A$3, "adsh", $E170, "tag", "NetIncomeLoss"),"")</f>
        <v>61557000</v>
      </c>
      <c r="L170">
        <f>IFERROR(GETPIVOTDATA("value", financials_wide!$A$3, "adsh", $E170, "tag", "StockholdersEquity"),"")</f>
        <v>552851000</v>
      </c>
      <c r="M170">
        <f t="shared" si="11"/>
        <v>7.9329964131384409</v>
      </c>
      <c r="N170" s="3">
        <f t="shared" si="12"/>
        <v>1.4035635744277224E-2</v>
      </c>
      <c r="O170" t="str">
        <f t="shared" si="13"/>
        <v>Mid</v>
      </c>
    </row>
    <row r="171" spans="1:15" x14ac:dyDescent="0.25">
      <c r="A171">
        <v>170</v>
      </c>
      <c r="B171">
        <v>6021</v>
      </c>
      <c r="C171" t="str">
        <v>CITY HOLDING CO</v>
      </c>
      <c r="D171">
        <v>726854</v>
      </c>
      <c r="E171" t="str">
        <v>0000726854-26-000062</v>
      </c>
      <c r="F171">
        <f>IFERROR(GETPIVOTDATA("value", financials_wide!$A$3, "adsh", $E171, "tag", "Assets"),"")</f>
        <v>6722018000</v>
      </c>
      <c r="G171">
        <f>IFERROR(GETPIVOTDATA("value", financials_wide!$A$3, "adsh", $E171, "tag", "EarningsPerShareBasic"),"")</f>
        <v>8.94</v>
      </c>
      <c r="H171">
        <f>IFERROR(IFERROR(GETPIVOTDATA("value", financials_wide!$A$3, "adsh", $E171, "tag", "InterestAndDividendIncomeOperating"), GETPIVOTDATA("value", financials_wide!$A$3, "adsh", $E171, "tag", "InterestIncomeOperating")),"")</f>
        <v>321216000</v>
      </c>
      <c r="I171">
        <f>IFERROR(GETPIVOTDATA("value", financials_wide!$A$3, "adsh", $E171, "tag", "Liabilities"),"")</f>
        <v>5912338000</v>
      </c>
      <c r="J171">
        <f t="shared" si="10"/>
        <v>809680000</v>
      </c>
      <c r="K171">
        <f>IFERROR(GETPIVOTDATA("value", financials_wide!$A$3, "adsh", $E171, "tag", "NetIncomeLoss"),"")</f>
        <v>130485000</v>
      </c>
      <c r="L171">
        <f>IFERROR(GETPIVOTDATA("value", financials_wide!$A$3, "adsh", $E171, "tag", "StockholdersEquity"),"")</f>
        <v>809680000</v>
      </c>
      <c r="M171">
        <f t="shared" si="11"/>
        <v>8.3020674834502515</v>
      </c>
      <c r="N171" s="3">
        <f t="shared" si="12"/>
        <v>1.941158146259055E-2</v>
      </c>
      <c r="O171" t="str">
        <f t="shared" si="13"/>
        <v>Mid</v>
      </c>
    </row>
    <row r="172" spans="1:15" x14ac:dyDescent="0.25">
      <c r="A172">
        <v>171</v>
      </c>
      <c r="B172">
        <v>6022</v>
      </c>
      <c r="C172" t="str">
        <v>WASHINGTON TRUST BANCORP INC</v>
      </c>
      <c r="D172">
        <v>737468</v>
      </c>
      <c r="E172" t="str">
        <v>0000737468-26-000034</v>
      </c>
      <c r="F172">
        <f>IFERROR(GETPIVOTDATA("value", financials_wide!$A$3, "adsh", $E172, "tag", "Assets"),"")</f>
        <v>6621694000</v>
      </c>
      <c r="G172">
        <f>IFERROR(GETPIVOTDATA("value", financials_wide!$A$3, "adsh", $E172, "tag", "EarningsPerShareBasic"),"")</f>
        <v>2.72</v>
      </c>
      <c r="H172">
        <f>IFERROR(IFERROR(GETPIVOTDATA("value", financials_wide!$A$3, "adsh", $E172, "tag", "InterestAndDividendIncomeOperating"), GETPIVOTDATA("value", financials_wide!$A$3, "adsh", $E172, "tag", "InterestIncomeOperating")),"")</f>
        <v>318091000</v>
      </c>
      <c r="I172">
        <f>IFERROR(GETPIVOTDATA("value", financials_wide!$A$3, "adsh", $E172, "tag", "Liabilities"),"")</f>
        <v>6078110000</v>
      </c>
      <c r="J172">
        <f t="shared" si="10"/>
        <v>543584000</v>
      </c>
      <c r="K172">
        <f>IFERROR(GETPIVOTDATA("value", financials_wide!$A$3, "adsh", $E172, "tag", "NetIncomeLoss"),"")</f>
        <v>52244000</v>
      </c>
      <c r="L172">
        <f>IFERROR(GETPIVOTDATA("value", financials_wide!$A$3, "adsh", $E172, "tag", "StockholdersEquity"),"")</f>
        <v>543584000</v>
      </c>
      <c r="M172">
        <f t="shared" si="11"/>
        <v>12.181546918231589</v>
      </c>
      <c r="N172" s="3">
        <f t="shared" si="12"/>
        <v>7.8898239634752065E-3</v>
      </c>
      <c r="O172" t="str">
        <f t="shared" si="13"/>
        <v>Mid</v>
      </c>
    </row>
    <row r="173" spans="1:15" x14ac:dyDescent="0.25">
      <c r="A173">
        <v>172</v>
      </c>
      <c r="B173">
        <v>6022</v>
      </c>
      <c r="C173" t="str">
        <v>CITIZENS FINANCIAL GROUP INC/RI</v>
      </c>
      <c r="D173">
        <v>759944</v>
      </c>
      <c r="E173" t="str">
        <v>0000759944-26-000028</v>
      </c>
      <c r="F173">
        <f>IFERROR(GETPIVOTDATA("value", financials_wide!$A$3, "adsh", $E173, "tag", "Assets"),"")</f>
        <v>226351000000</v>
      </c>
      <c r="G173">
        <f>IFERROR(GETPIVOTDATA("value", financials_wide!$A$3, "adsh", $E173, "tag", "EarningsPerShareBasic"),"")</f>
        <v>3.9</v>
      </c>
      <c r="H173">
        <f>IFERROR(IFERROR(GETPIVOTDATA("value", financials_wide!$A$3, "adsh", $E173, "tag", "InterestAndDividendIncomeOperating"), GETPIVOTDATA("value", financials_wide!$A$3, "adsh", $E173, "tag", "InterestIncomeOperating")),"")</f>
        <v>9663000000</v>
      </c>
      <c r="I173">
        <f>IFERROR(GETPIVOTDATA("value", financials_wide!$A$3, "adsh", $E173, "tag", "Liabilities"),"")</f>
        <v>200034000000</v>
      </c>
      <c r="J173">
        <f t="shared" si="10"/>
        <v>26317000000</v>
      </c>
      <c r="K173">
        <f>IFERROR(GETPIVOTDATA("value", financials_wide!$A$3, "adsh", $E173, "tag", "NetIncomeLoss"),"")</f>
        <v>1831000000</v>
      </c>
      <c r="L173">
        <f>IFERROR(GETPIVOTDATA("value", financials_wide!$A$3, "adsh", $E173, "tag", "StockholdersEquity"),"")</f>
        <v>26317000000</v>
      </c>
      <c r="M173">
        <f t="shared" si="11"/>
        <v>8.6009423566515935</v>
      </c>
      <c r="N173" s="3">
        <f t="shared" si="12"/>
        <v>8.089206586231119E-3</v>
      </c>
      <c r="O173" t="str">
        <f t="shared" si="13"/>
        <v>Large</v>
      </c>
    </row>
    <row r="174" spans="1:15" x14ac:dyDescent="0.25">
      <c r="A174">
        <v>173</v>
      </c>
      <c r="B174">
        <v>6022</v>
      </c>
      <c r="C174" t="str">
        <v>INDEPENDENT BANK CORP</v>
      </c>
      <c r="D174">
        <v>776901</v>
      </c>
      <c r="E174" t="str">
        <v>0000776901-26-000058</v>
      </c>
      <c r="F174">
        <f>IFERROR(GETPIVOTDATA("value", financials_wide!$A$3, "adsh", $E174, "tag", "Assets"),"")</f>
        <v>24912896000</v>
      </c>
      <c r="G174">
        <f>IFERROR(GETPIVOTDATA("value", financials_wide!$A$3, "adsh", $E174, "tag", "EarningsPerShareBasic"),"")</f>
        <v>4.4400000000000004</v>
      </c>
      <c r="H174">
        <f>IFERROR(IFERROR(GETPIVOTDATA("value", financials_wide!$A$3, "adsh", $E174, "tag", "InterestAndDividendIncomeOperating"), GETPIVOTDATA("value", financials_wide!$A$3, "adsh", $E174, "tag", "InterestIncomeOperating")),"")</f>
        <v>1022400000</v>
      </c>
      <c r="I174">
        <f>IFERROR(GETPIVOTDATA("value", financials_wide!$A$3, "adsh", $E174, "tag", "Liabilities"),"")</f>
        <v>21347168000</v>
      </c>
      <c r="J174">
        <f t="shared" si="10"/>
        <v>3565728000</v>
      </c>
      <c r="K174">
        <f>IFERROR(GETPIVOTDATA("value", financials_wide!$A$3, "adsh", $E174, "tag", "NetIncomeLoss"),"")</f>
        <v>205122000</v>
      </c>
      <c r="L174">
        <f>IFERROR(GETPIVOTDATA("value", financials_wide!$A$3, "adsh", $E174, "tag", "StockholdersEquity"),"")</f>
        <v>3565728000</v>
      </c>
      <c r="M174">
        <f t="shared" si="11"/>
        <v>6.9867628714248537</v>
      </c>
      <c r="N174" s="3">
        <f t="shared" si="12"/>
        <v>8.2335670650252792E-3</v>
      </c>
      <c r="O174" t="str">
        <f t="shared" si="13"/>
        <v>Large</v>
      </c>
    </row>
    <row r="175" spans="1:15" x14ac:dyDescent="0.25">
      <c r="A175">
        <v>174</v>
      </c>
      <c r="B175">
        <v>6022</v>
      </c>
      <c r="C175" t="str">
        <v>FIRST CITIZENS BANCSHARES INC /DE/</v>
      </c>
      <c r="D175">
        <v>798941</v>
      </c>
      <c r="E175" t="str">
        <v>0000798941-26-000015</v>
      </c>
      <c r="F175">
        <f>IFERROR(GETPIVOTDATA("value", financials_wide!$A$3, "adsh", $E175, "tag", "Assets"),"")</f>
        <v>229698000000</v>
      </c>
      <c r="G175">
        <f>IFERROR(GETPIVOTDATA("value", financials_wide!$A$3, "adsh", $E175, "tag", "EarningsPerShareBasic"),"")</f>
        <v>165.24</v>
      </c>
      <c r="H175">
        <f>IFERROR(IFERROR(GETPIVOTDATA("value", financials_wide!$A$3, "adsh", $E175, "tag", "InterestAndDividendIncomeOperating"), GETPIVOTDATA("value", financials_wide!$A$3, "adsh", $E175, "tag", "InterestIncomeOperating")),"")</f>
        <v>11778000000</v>
      </c>
      <c r="I175">
        <f>IFERROR(GETPIVOTDATA("value", financials_wide!$A$3, "adsh", $E175, "tag", "Liabilities"),"")</f>
        <v>207460000000</v>
      </c>
      <c r="J175">
        <f t="shared" si="10"/>
        <v>22238000000</v>
      </c>
      <c r="K175">
        <f>IFERROR(GETPIVOTDATA("value", financials_wide!$A$3, "adsh", $E175, "tag", "NetIncomeLoss"),"")</f>
        <v>2206000000</v>
      </c>
      <c r="L175">
        <f>IFERROR(GETPIVOTDATA("value", financials_wide!$A$3, "adsh", $E175, "tag", "StockholdersEquity"),"")</f>
        <v>22238000000</v>
      </c>
      <c r="M175">
        <f t="shared" si="11"/>
        <v>10.329076355787391</v>
      </c>
      <c r="N175" s="3">
        <f t="shared" si="12"/>
        <v>9.6039147053957798E-3</v>
      </c>
      <c r="O175" t="str">
        <f t="shared" si="13"/>
        <v>Large</v>
      </c>
    </row>
    <row r="176" spans="1:15" x14ac:dyDescent="0.25">
      <c r="A176">
        <v>175</v>
      </c>
      <c r="B176">
        <v>6021</v>
      </c>
      <c r="C176" t="str">
        <v>WEBSTER FINANCIAL CORP</v>
      </c>
      <c r="D176">
        <v>801337</v>
      </c>
      <c r="E176" t="str">
        <v>0000801337-26-000008</v>
      </c>
      <c r="F176">
        <f>IFERROR(GETPIVOTDATA("value", financials_wide!$A$3, "adsh", $E176, "tag", "Assets"),"")</f>
        <v>84073663000</v>
      </c>
      <c r="G176">
        <f>IFERROR(GETPIVOTDATA("value", financials_wide!$A$3, "adsh", $E176, "tag", "EarningsPerShareBasic"),"")</f>
        <v>5.91</v>
      </c>
      <c r="H176">
        <f>IFERROR(IFERROR(GETPIVOTDATA("value", financials_wide!$A$3, "adsh", $E176, "tag", "InterestAndDividendIncomeOperating"), GETPIVOTDATA("value", financials_wide!$A$3, "adsh", $E176, "tag", "InterestIncomeOperating")),"")</f>
        <v>4021508000</v>
      </c>
      <c r="I176">
        <f>IFERROR(GETPIVOTDATA("value", financials_wide!$A$3, "adsh", $E176, "tag", "Liabilities"),"")</f>
        <v>74581427000</v>
      </c>
      <c r="J176">
        <f t="shared" si="10"/>
        <v>9492236000</v>
      </c>
      <c r="K176">
        <f>IFERROR(GETPIVOTDATA("value", financials_wide!$A$3, "adsh", $E176, "tag", "NetIncomeLoss"),"")</f>
        <v>1002802000</v>
      </c>
      <c r="L176">
        <f>IFERROR(GETPIVOTDATA("value", financials_wide!$A$3, "adsh", $E176, "tag", "StockholdersEquity"),"")</f>
        <v>9492236000</v>
      </c>
      <c r="M176">
        <f t="shared" si="11"/>
        <v>8.8570978429107754</v>
      </c>
      <c r="N176" s="3">
        <f t="shared" si="12"/>
        <v>1.1927659200479942E-2</v>
      </c>
      <c r="O176" t="str">
        <f t="shared" si="13"/>
        <v>Large</v>
      </c>
    </row>
    <row r="177" spans="1:15" x14ac:dyDescent="0.25">
      <c r="A177">
        <v>176</v>
      </c>
      <c r="B177">
        <v>6021</v>
      </c>
      <c r="C177" t="str">
        <v>PARK NATIONAL CORP /OH/</v>
      </c>
      <c r="D177">
        <v>805676</v>
      </c>
      <c r="E177" t="str">
        <v>0000805676-26-000017</v>
      </c>
      <c r="F177">
        <f>IFERROR(GETPIVOTDATA("value", financials_wide!$A$3, "adsh", $E177, "tag", "Assets"),"")</f>
        <v>9805013000</v>
      </c>
      <c r="G177">
        <f>IFERROR(GETPIVOTDATA("value", financials_wide!$A$3, "adsh", $E177, "tag", "EarningsPerShareBasic"),"")</f>
        <v>11.18</v>
      </c>
      <c r="H177">
        <f>IFERROR(IFERROR(GETPIVOTDATA("value", financials_wide!$A$3, "adsh", $E177, "tag", "InterestAndDividendIncomeOperating"), GETPIVOTDATA("value", financials_wide!$A$3, "adsh", $E177, "tag", "InterestIncomeOperating")),"")</f>
        <v>544540000</v>
      </c>
      <c r="I177">
        <f>IFERROR(GETPIVOTDATA("value", financials_wide!$A$3, "adsh", $E177, "tag", "Liabilities"),"")</f>
        <v>8452220000</v>
      </c>
      <c r="J177">
        <f t="shared" si="10"/>
        <v>1352793000</v>
      </c>
      <c r="K177">
        <f>IFERROR(GETPIVOTDATA("value", financials_wide!$A$3, "adsh", $E177, "tag", "NetIncomeLoss"),"")</f>
        <v>180073000</v>
      </c>
      <c r="L177">
        <f>IFERROR(GETPIVOTDATA("value", financials_wide!$A$3, "adsh", $E177, "tag", "StockholdersEquity"),"")</f>
        <v>0</v>
      </c>
      <c r="M177" t="e">
        <f t="shared" si="11"/>
        <v>#N/A</v>
      </c>
      <c r="N177" s="3">
        <f t="shared" si="12"/>
        <v>1.8365401453317807E-2</v>
      </c>
      <c r="O177" t="str">
        <f t="shared" si="13"/>
        <v>Mid</v>
      </c>
    </row>
    <row r="178" spans="1:15" x14ac:dyDescent="0.25">
      <c r="A178">
        <v>177</v>
      </c>
      <c r="B178">
        <v>6022</v>
      </c>
      <c r="C178" t="str">
        <v>FIRST BANCORP /NC/</v>
      </c>
      <c r="D178">
        <v>811589</v>
      </c>
      <c r="E178" t="str">
        <v>0000811589-26-000051</v>
      </c>
      <c r="F178">
        <f>IFERROR(GETPIVOTDATA("value", financials_wide!$A$3, "adsh", $E178, "tag", "Assets"),"")</f>
        <v>12668339000</v>
      </c>
      <c r="G178">
        <f>IFERROR(GETPIVOTDATA("value", financials_wide!$A$3, "adsh", $E178, "tag", "EarningsPerShareBasic"),"")</f>
        <v>2.68</v>
      </c>
      <c r="H178">
        <f>IFERROR(IFERROR(GETPIVOTDATA("value", financials_wide!$A$3, "adsh", $E178, "tag", "InterestAndDividendIncomeOperating"), GETPIVOTDATA("value", financials_wide!$A$3, "adsh", $E178, "tag", "InterestIncomeOperating")),"")</f>
        <v>557235000</v>
      </c>
      <c r="I178">
        <f>IFERROR(GETPIVOTDATA("value", financials_wide!$A$3, "adsh", $E178, "tag", "Liabilities"),"")</f>
        <v>11014171000</v>
      </c>
      <c r="J178">
        <f t="shared" si="10"/>
        <v>1654168000</v>
      </c>
      <c r="K178">
        <f>IFERROR(GETPIVOTDATA("value", financials_wide!$A$3, "adsh", $E178, "tag", "NetIncomeLoss"),"")</f>
        <v>111048000</v>
      </c>
      <c r="L178">
        <f>IFERROR(GETPIVOTDATA("value", financials_wide!$A$3, "adsh", $E178, "tag", "StockholdersEquity"),"")</f>
        <v>1654168000</v>
      </c>
      <c r="M178">
        <f t="shared" si="11"/>
        <v>7.6584355398000685</v>
      </c>
      <c r="N178" s="3">
        <f t="shared" si="12"/>
        <v>8.7657900534553104E-3</v>
      </c>
      <c r="O178" t="str">
        <f t="shared" si="13"/>
        <v>Mid</v>
      </c>
    </row>
    <row r="179" spans="1:15" x14ac:dyDescent="0.25">
      <c r="A179">
        <v>178</v>
      </c>
      <c r="B179">
        <v>6021</v>
      </c>
      <c r="C179" t="str">
        <v>SANTANDER HOLDINGS USA, INC.</v>
      </c>
      <c r="D179">
        <v>811830</v>
      </c>
      <c r="E179" t="str">
        <v>0000811830-26-000005</v>
      </c>
      <c r="F179">
        <f>IFERROR(GETPIVOTDATA("value", financials_wide!$A$3, "adsh", $E179, "tag", "Assets"),"")</f>
        <v>164572121000</v>
      </c>
      <c r="G179">
        <f>IFERROR(GETPIVOTDATA("value", financials_wide!$A$3, "adsh", $E179, "tag", "EarningsPerShareBasic"),"")</f>
        <v>0</v>
      </c>
      <c r="H179">
        <f>IFERROR(IFERROR(GETPIVOTDATA("value", financials_wide!$A$3, "adsh", $E179, "tag", "InterestAndDividendIncomeOperating"), GETPIVOTDATA("value", financials_wide!$A$3, "adsh", $E179, "tag", "InterestIncomeOperating")),"")</f>
        <v>12436658000</v>
      </c>
      <c r="I179">
        <f>IFERROR(GETPIVOTDATA("value", financials_wide!$A$3, "adsh", $E179, "tag", "Liabilities"),"")</f>
        <v>146627414000</v>
      </c>
      <c r="J179">
        <f t="shared" si="10"/>
        <v>17944707000</v>
      </c>
      <c r="K179">
        <f>IFERROR(GETPIVOTDATA("value", financials_wide!$A$3, "adsh", $E179, "tag", "NetIncomeLoss"),"")</f>
        <v>1645158000</v>
      </c>
      <c r="L179">
        <f>IFERROR(GETPIVOTDATA("value", financials_wide!$A$3, "adsh", $E179, "tag", "StockholdersEquity"),"")</f>
        <v>15944707000</v>
      </c>
      <c r="M179">
        <f t="shared" si="11"/>
        <v>10.321426477137523</v>
      </c>
      <c r="N179" s="3">
        <f t="shared" si="12"/>
        <v>9.9965777314129645E-3</v>
      </c>
      <c r="O179" t="str">
        <f t="shared" si="13"/>
        <v>Large</v>
      </c>
    </row>
    <row r="180" spans="1:15" x14ac:dyDescent="0.25">
      <c r="A180">
        <v>179</v>
      </c>
      <c r="B180">
        <v>6021</v>
      </c>
      <c r="C180" t="str">
        <v>WSFS FINANCIAL CORP</v>
      </c>
      <c r="D180">
        <v>828944</v>
      </c>
      <c r="E180" t="str">
        <v>0000828944-26-000006</v>
      </c>
      <c r="F180">
        <f>IFERROR(GETPIVOTDATA("value", financials_wide!$A$3, "adsh", $E180, "tag", "Assets"),"")</f>
        <v>21314076000</v>
      </c>
      <c r="G180">
        <f>IFERROR(GETPIVOTDATA("value", financials_wide!$A$3, "adsh", $E180, "tag", "EarningsPerShareBasic"),"")</f>
        <v>5.1100000000000003</v>
      </c>
      <c r="H180">
        <f>IFERROR(IFERROR(GETPIVOTDATA("value", financials_wide!$A$3, "adsh", $E180, "tag", "InterestAndDividendIncomeOperating"), GETPIVOTDATA("value", financials_wide!$A$3, "adsh", $E180, "tag", "InterestIncomeOperating")),"")</f>
        <v>1019688000</v>
      </c>
      <c r="I180">
        <f>IFERROR(GETPIVOTDATA("value", financials_wide!$A$3, "adsh", $E180, "tag", "Liabilities"),"")</f>
        <v>18586001000</v>
      </c>
      <c r="J180">
        <f t="shared" si="10"/>
        <v>2728075000</v>
      </c>
      <c r="K180">
        <f>IFERROR(GETPIVOTDATA("value", financials_wide!$A$3, "adsh", $E180, "tag", "NetIncomeLoss"),"")</f>
        <v>287349000</v>
      </c>
      <c r="L180">
        <f>IFERROR(GETPIVOTDATA("value", financials_wide!$A$3, "adsh", $E180, "tag", "StockholdersEquity"),"")</f>
        <v>2738545000</v>
      </c>
      <c r="M180">
        <f t="shared" si="11"/>
        <v>7.7829927936185088</v>
      </c>
      <c r="N180" s="3">
        <f t="shared" si="12"/>
        <v>1.348165409563145E-2</v>
      </c>
      <c r="O180" t="str">
        <f t="shared" si="13"/>
        <v>Large</v>
      </c>
    </row>
    <row r="181" spans="1:15" x14ac:dyDescent="0.25">
      <c r="A181">
        <v>180</v>
      </c>
      <c r="B181">
        <v>6021</v>
      </c>
      <c r="C181" t="str">
        <v>CITIGROUP INC</v>
      </c>
      <c r="D181">
        <v>831001</v>
      </c>
      <c r="E181" t="str">
        <v>0000831001-26-000011</v>
      </c>
      <c r="F181">
        <f>IFERROR(GETPIVOTDATA("value", financials_wide!$A$3, "adsh", $E181, "tag", "Assets"),"")</f>
        <v>2657202000000</v>
      </c>
      <c r="G181">
        <f>IFERROR(GETPIVOTDATA("value", financials_wide!$A$3, "adsh", $E181, "tag", "EarningsPerShareBasic"),"")</f>
        <v>7.11</v>
      </c>
      <c r="H181">
        <f>IFERROR(IFERROR(GETPIVOTDATA("value", financials_wide!$A$3, "adsh", $E181, "tag", "InterestAndDividendIncomeOperating"), GETPIVOTDATA("value", financials_wide!$A$3, "adsh", $E181, "tag", "InterestIncomeOperating")),"")</f>
        <v>142864000000</v>
      </c>
      <c r="I181">
        <f>IFERROR(GETPIVOTDATA("value", financials_wide!$A$3, "adsh", $E181, "tag", "Liabilities"),"")</f>
        <v>2443380000000</v>
      </c>
      <c r="J181">
        <f t="shared" si="10"/>
        <v>213822000000</v>
      </c>
      <c r="K181">
        <f>IFERROR(GETPIVOTDATA("value", financials_wide!$A$3, "adsh", $E181, "tag", "NetIncomeLoss"),"")</f>
        <v>14306000000</v>
      </c>
      <c r="L181">
        <f>IFERROR(GETPIVOTDATA("value", financials_wide!$A$3, "adsh", $E181, "tag", "StockholdersEquity"),"")</f>
        <v>212291000000</v>
      </c>
      <c r="M181">
        <f t="shared" si="11"/>
        <v>12.516790631727204</v>
      </c>
      <c r="N181" s="3">
        <f t="shared" si="12"/>
        <v>5.3838586603502485E-3</v>
      </c>
      <c r="O181" t="str">
        <f t="shared" si="13"/>
        <v>Large</v>
      </c>
    </row>
    <row r="182" spans="1:15" x14ac:dyDescent="0.25">
      <c r="A182">
        <v>181</v>
      </c>
      <c r="B182">
        <v>6021</v>
      </c>
      <c r="C182" t="str">
        <v>DIME COMMUNITY BANCSHARES, INC. /NY/</v>
      </c>
      <c r="D182">
        <v>846617</v>
      </c>
      <c r="E182" t="str">
        <v>0000846617-26-000013</v>
      </c>
      <c r="F182">
        <f>IFERROR(GETPIVOTDATA("value", financials_wide!$A$3, "adsh", $E182, "tag", "Assets"),"")</f>
        <v>15341631000</v>
      </c>
      <c r="G182">
        <f>IFERROR(GETPIVOTDATA("value", financials_wide!$A$3, "adsh", $E182, "tag", "EarningsPerShareBasic"),"")</f>
        <v>2.36</v>
      </c>
      <c r="H182">
        <f>IFERROR(IFERROR(GETPIVOTDATA("value", financials_wide!$A$3, "adsh", $E182, "tag", "InterestAndDividendIncomeOperating"), GETPIVOTDATA("value", financials_wide!$A$3, "adsh", $E182, "tag", "InterestIncomeOperating")),"")</f>
        <v>685442000</v>
      </c>
      <c r="I182">
        <f>IFERROR(GETPIVOTDATA("value", financials_wide!$A$3, "adsh", $E182, "tag", "Liabilities"),"")</f>
        <v>13865862000</v>
      </c>
      <c r="J182">
        <f t="shared" si="10"/>
        <v>1475769000</v>
      </c>
      <c r="K182">
        <f>IFERROR(GETPIVOTDATA("value", financials_wide!$A$3, "adsh", $E182, "tag", "NetIncomeLoss"),"")</f>
        <v>110682000</v>
      </c>
      <c r="L182">
        <f>IFERROR(GETPIVOTDATA("value", financials_wide!$A$3, "adsh", $E182, "tag", "StockholdersEquity"),"")</f>
        <v>1475769000</v>
      </c>
      <c r="M182">
        <f t="shared" si="11"/>
        <v>10.395685910193261</v>
      </c>
      <c r="N182" s="3">
        <f t="shared" si="12"/>
        <v>7.2144871689326902E-3</v>
      </c>
      <c r="O182" t="str">
        <f t="shared" si="13"/>
        <v>Mid</v>
      </c>
    </row>
    <row r="183" spans="1:15" x14ac:dyDescent="0.25">
      <c r="A183">
        <v>182</v>
      </c>
      <c r="B183">
        <v>6022</v>
      </c>
      <c r="C183" t="str">
        <v>UNITED COMMUNITY BANKS INC</v>
      </c>
      <c r="D183">
        <v>857855</v>
      </c>
      <c r="E183" t="str">
        <v>0000857855-26-000008</v>
      </c>
      <c r="F183">
        <f>IFERROR(GETPIVOTDATA("value", financials_wide!$A$3, "adsh", $E183, "tag", "Assets"),"")</f>
        <v>28002554000</v>
      </c>
      <c r="G183">
        <f>IFERROR(GETPIVOTDATA("value", financials_wide!$A$3, "adsh", $E183, "tag", "EarningsPerShareBasic"),"")</f>
        <v>2.62</v>
      </c>
      <c r="H183">
        <f>IFERROR(IFERROR(GETPIVOTDATA("value", financials_wide!$A$3, "adsh", $E183, "tag", "InterestAndDividendIncomeOperating"), GETPIVOTDATA("value", financials_wide!$A$3, "adsh", $E183, "tag", "InterestIncomeOperating")),"")</f>
        <v>1382939000</v>
      </c>
      <c r="I183">
        <f>IFERROR(GETPIVOTDATA("value", financials_wide!$A$3, "adsh", $E183, "tag", "Liabilities"),"")</f>
        <v>24363868000</v>
      </c>
      <c r="J183">
        <f t="shared" si="10"/>
        <v>3638686000</v>
      </c>
      <c r="K183">
        <f>IFERROR(GETPIVOTDATA("value", financials_wide!$A$3, "adsh", $E183, "tag", "NetIncomeLoss"),"")</f>
        <v>328095000</v>
      </c>
      <c r="L183">
        <f>IFERROR(GETPIVOTDATA("value", financials_wide!$A$3, "adsh", $E183, "tag", "StockholdersEquity"),"")</f>
        <v>3638686000</v>
      </c>
      <c r="M183">
        <f t="shared" si="11"/>
        <v>7.6957874353544113</v>
      </c>
      <c r="N183" s="3">
        <f t="shared" si="12"/>
        <v>1.171660984923018E-2</v>
      </c>
      <c r="O183" t="str">
        <f t="shared" si="13"/>
        <v>Large</v>
      </c>
    </row>
    <row r="184" spans="1:15" x14ac:dyDescent="0.25">
      <c r="A184">
        <v>183</v>
      </c>
      <c r="B184">
        <v>6022</v>
      </c>
      <c r="C184" t="str">
        <v>FIRST INTERSTATE BANCSYSTEM INC</v>
      </c>
      <c r="D184">
        <v>860413</v>
      </c>
      <c r="E184" t="str">
        <v>0000860413-26-000011</v>
      </c>
      <c r="F184">
        <f>IFERROR(GETPIVOTDATA("value", financials_wide!$A$3, "adsh", $E184, "tag", "Assets"),"")</f>
        <v>26640600000</v>
      </c>
      <c r="G184">
        <f>IFERROR(GETPIVOTDATA("value", financials_wide!$A$3, "adsh", $E184, "tag", "EarningsPerShareBasic"),"")</f>
        <v>2.95</v>
      </c>
      <c r="H184">
        <f>IFERROR(IFERROR(GETPIVOTDATA("value", financials_wide!$A$3, "adsh", $E184, "tag", "InterestAndDividendIncomeOperating"), GETPIVOTDATA("value", financials_wide!$A$3, "adsh", $E184, "tag", "InterestIncomeOperating")),"")</f>
        <v>1178000000</v>
      </c>
      <c r="I184">
        <f>IFERROR(GETPIVOTDATA("value", financials_wide!$A$3, "adsh", $E184, "tag", "Liabilities"),"")</f>
        <v>23193600000</v>
      </c>
      <c r="J184">
        <f t="shared" si="10"/>
        <v>3447000000</v>
      </c>
      <c r="K184">
        <f>IFERROR(GETPIVOTDATA("value", financials_wide!$A$3, "adsh", $E184, "tag", "NetIncomeLoss"),"")</f>
        <v>302100000</v>
      </c>
      <c r="L184">
        <f>IFERROR(GETPIVOTDATA("value", financials_wide!$A$3, "adsh", $E184, "tag", "StockholdersEquity"),"")</f>
        <v>3447000000</v>
      </c>
      <c r="M184">
        <f t="shared" si="11"/>
        <v>7.7286335944299394</v>
      </c>
      <c r="N184" s="3">
        <f t="shared" si="12"/>
        <v>1.1339834688407919E-2</v>
      </c>
      <c r="O184" t="str">
        <f t="shared" si="13"/>
        <v>Large</v>
      </c>
    </row>
    <row r="185" spans="1:15" x14ac:dyDescent="0.25">
      <c r="A185">
        <v>184</v>
      </c>
      <c r="B185">
        <v>6022</v>
      </c>
      <c r="C185" t="str">
        <v>GLACIER BANCORP, INC.</v>
      </c>
      <c r="D185">
        <v>868671</v>
      </c>
      <c r="E185" t="str">
        <v>0000868671-26-000023</v>
      </c>
      <c r="F185">
        <f>IFERROR(GETPIVOTDATA("value", financials_wide!$A$3, "adsh", $E185, "tag", "Assets"),"")</f>
        <v>31978063000</v>
      </c>
      <c r="G185">
        <f>IFERROR(GETPIVOTDATA("value", financials_wide!$A$3, "adsh", $E185, "tag", "EarningsPerShareBasic"),"")</f>
        <v>2</v>
      </c>
      <c r="H185">
        <f>IFERROR(IFERROR(GETPIVOTDATA("value", financials_wide!$A$3, "adsh", $E185, "tag", "InterestAndDividendIncomeOperating"), GETPIVOTDATA("value", financials_wide!$A$3, "adsh", $E185, "tag", "InterestIncomeOperating")),"")</f>
        <v>1295797000</v>
      </c>
      <c r="I185">
        <f>IFERROR(GETPIVOTDATA("value", financials_wide!$A$3, "adsh", $E185, "tag", "Liabilities"),"")</f>
        <v>27764242000</v>
      </c>
      <c r="J185">
        <f t="shared" si="10"/>
        <v>4213821000</v>
      </c>
      <c r="K185">
        <f>IFERROR(GETPIVOTDATA("value", financials_wide!$A$3, "adsh", $E185, "tag", "NetIncomeLoss"),"")</f>
        <v>239028000</v>
      </c>
      <c r="L185">
        <f>IFERROR(GETPIVOTDATA("value", financials_wide!$A$3, "adsh", $E185, "tag", "StockholdersEquity"),"")</f>
        <v>4213821000</v>
      </c>
      <c r="M185">
        <f t="shared" si="11"/>
        <v>7.5888517808421385</v>
      </c>
      <c r="N185" s="3">
        <f t="shared" si="12"/>
        <v>7.4747491741447881E-3</v>
      </c>
      <c r="O185" t="str">
        <f t="shared" si="13"/>
        <v>Large</v>
      </c>
    </row>
    <row r="186" spans="1:15" x14ac:dyDescent="0.25">
      <c r="A186">
        <v>185</v>
      </c>
      <c r="B186">
        <v>6021</v>
      </c>
      <c r="C186" t="str">
        <v>BOK FINANCIAL CORP</v>
      </c>
      <c r="D186">
        <v>875357</v>
      </c>
      <c r="E186" t="str">
        <v>0000875357-26-000013</v>
      </c>
      <c r="F186">
        <f>IFERROR(GETPIVOTDATA("value", financials_wide!$A$3, "adsh", $E186, "tag", "Assets"),"")</f>
        <v>52237501000</v>
      </c>
      <c r="G186">
        <f>IFERROR(GETPIVOTDATA("value", financials_wide!$A$3, "adsh", $E186, "tag", "EarningsPerShareBasic"),"")</f>
        <v>9.17</v>
      </c>
      <c r="H186">
        <f>IFERROR(IFERROR(GETPIVOTDATA("value", financials_wide!$A$3, "adsh", $E186, "tag", "InterestAndDividendIncomeOperating"), GETPIVOTDATA("value", financials_wide!$A$3, "adsh", $E186, "tag", "InterestIncomeOperating")),"")</f>
        <v>2531268000</v>
      </c>
      <c r="I186">
        <f>IFERROR(GETPIVOTDATA("value", financials_wide!$A$3, "adsh", $E186, "tag", "Liabilities"),"")</f>
        <v>46316821000</v>
      </c>
      <c r="J186">
        <f t="shared" si="10"/>
        <v>5920680000</v>
      </c>
      <c r="K186">
        <f>IFERROR(GETPIVOTDATA("value", financials_wide!$A$3, "adsh", $E186, "tag", "NetIncomeLoss"),"")</f>
        <v>577990000</v>
      </c>
      <c r="L186">
        <f>IFERROR(GETPIVOTDATA("value", financials_wide!$A$3, "adsh", $E186, "tag", "StockholdersEquity"),"")</f>
        <v>5918646000</v>
      </c>
      <c r="M186">
        <f t="shared" si="11"/>
        <v>8.8259208271621592</v>
      </c>
      <c r="N186" s="3">
        <f t="shared" si="12"/>
        <v>1.1064656404600979E-2</v>
      </c>
      <c r="O186" t="str">
        <f t="shared" si="13"/>
        <v>Large</v>
      </c>
    </row>
    <row r="187" spans="1:15" x14ac:dyDescent="0.25">
      <c r="A187">
        <v>186</v>
      </c>
      <c r="B187">
        <v>6022</v>
      </c>
      <c r="C187" t="str">
        <v>ATLANTIC UNION BANKSHARES CORP</v>
      </c>
      <c r="D187">
        <v>883948</v>
      </c>
      <c r="E187" t="str">
        <v>0000883948-26-000021</v>
      </c>
      <c r="F187">
        <f>IFERROR(GETPIVOTDATA("value", financials_wide!$A$3, "adsh", $E187, "tag", "Assets"),"")</f>
        <v>37585754000</v>
      </c>
      <c r="G187">
        <f>IFERROR(GETPIVOTDATA("value", financials_wide!$A$3, "adsh", $E187, "tag", "EarningsPerShareBasic"),"")</f>
        <v>2.0299999999999998</v>
      </c>
      <c r="H187">
        <f>IFERROR(IFERROR(GETPIVOTDATA("value", financials_wide!$A$3, "adsh", $E187, "tag", "InterestAndDividendIncomeOperating"), GETPIVOTDATA("value", financials_wide!$A$3, "adsh", $E187, "tag", "InterestIncomeOperating")),"")</f>
        <v>1821487000</v>
      </c>
      <c r="I187">
        <f>IFERROR(GETPIVOTDATA("value", financials_wide!$A$3, "adsh", $E187, "tag", "Liabilities"),"")</f>
        <v>32579356000</v>
      </c>
      <c r="J187">
        <f t="shared" si="10"/>
        <v>5006398000</v>
      </c>
      <c r="K187">
        <f>IFERROR(GETPIVOTDATA("value", financials_wide!$A$3, "adsh", $E187, "tag", "NetIncomeLoss"),"")</f>
        <v>273715000</v>
      </c>
      <c r="L187">
        <f>IFERROR(GETPIVOTDATA("value", financials_wide!$A$3, "adsh", $E187, "tag", "StockholdersEquity"),"")</f>
        <v>5006398000</v>
      </c>
      <c r="M187">
        <f t="shared" si="11"/>
        <v>7.507544146510126</v>
      </c>
      <c r="N187" s="3">
        <f t="shared" si="12"/>
        <v>7.2824134378147633E-3</v>
      </c>
      <c r="O187" t="str">
        <f t="shared" si="13"/>
        <v>Large</v>
      </c>
    </row>
    <row r="188" spans="1:15" x14ac:dyDescent="0.25">
      <c r="A188">
        <v>187</v>
      </c>
      <c r="B188">
        <v>6022</v>
      </c>
      <c r="C188" t="str">
        <v>COLUMBIA BANKING SYSTEM, INC.</v>
      </c>
      <c r="D188">
        <v>887343</v>
      </c>
      <c r="E188" t="str">
        <v>0000887343-26-000088</v>
      </c>
      <c r="F188">
        <f>IFERROR(GETPIVOTDATA("value", financials_wide!$A$3, "adsh", $E188, "tag", "Assets"),"")</f>
        <v>66832000000</v>
      </c>
      <c r="G188">
        <f>IFERROR(GETPIVOTDATA("value", financials_wide!$A$3, "adsh", $E188, "tag", "EarningsPerShareBasic"),"")</f>
        <v>2.31</v>
      </c>
      <c r="H188">
        <f>IFERROR(IFERROR(GETPIVOTDATA("value", financials_wide!$A$3, "adsh", $E188, "tag", "InterestAndDividendIncomeOperating"), GETPIVOTDATA("value", financials_wide!$A$3, "adsh", $E188, "tag", "InterestIncomeOperating")),"")</f>
        <v>2916000000</v>
      </c>
      <c r="I188">
        <f>IFERROR(GETPIVOTDATA("value", financials_wide!$A$3, "adsh", $E188, "tag", "Liabilities"),"")</f>
        <v>58992000000</v>
      </c>
      <c r="J188">
        <f t="shared" si="10"/>
        <v>7840000000</v>
      </c>
      <c r="K188">
        <f>IFERROR(GETPIVOTDATA("value", financials_wide!$A$3, "adsh", $E188, "tag", "NetIncomeLoss"),"")</f>
        <v>550000000</v>
      </c>
      <c r="L188">
        <f>IFERROR(GETPIVOTDATA("value", financials_wide!$A$3, "adsh", $E188, "tag", "StockholdersEquity"),"")</f>
        <v>7840000000</v>
      </c>
      <c r="M188">
        <f t="shared" si="11"/>
        <v>8.5244897959183668</v>
      </c>
      <c r="N188" s="3">
        <f t="shared" si="12"/>
        <v>8.22959061527412E-3</v>
      </c>
      <c r="O188" t="str">
        <f t="shared" si="13"/>
        <v>Large</v>
      </c>
    </row>
    <row r="189" spans="1:15" x14ac:dyDescent="0.25">
      <c r="A189">
        <v>188</v>
      </c>
      <c r="B189">
        <v>6021</v>
      </c>
      <c r="C189" t="str">
        <v>CAPITAL ONE FINANCIAL CORP</v>
      </c>
      <c r="D189">
        <v>927628</v>
      </c>
      <c r="E189" t="str">
        <v>0000927628-26-000024</v>
      </c>
      <c r="F189">
        <f>IFERROR(GETPIVOTDATA("value", financials_wide!$A$3, "adsh", $E189, "tag", "Assets"),"")</f>
        <v>669009000000</v>
      </c>
      <c r="G189">
        <f>IFERROR(GETPIVOTDATA("value", financials_wide!$A$3, "adsh", $E189, "tag", "EarningsPerShareBasic"),"")</f>
        <v>4.03</v>
      </c>
      <c r="H189">
        <f>IFERROR(IFERROR(GETPIVOTDATA("value", financials_wide!$A$3, "adsh", $E189, "tag", "InterestAndDividendIncomeOperating"), GETPIVOTDATA("value", financials_wide!$A$3, "adsh", $E189, "tag", "InterestIncomeOperating")),"")</f>
        <v>58696000000</v>
      </c>
      <c r="I189">
        <f>IFERROR(GETPIVOTDATA("value", financials_wide!$A$3, "adsh", $E189, "tag", "Liabilities"),"")</f>
        <v>555393000000</v>
      </c>
      <c r="J189">
        <f t="shared" si="10"/>
        <v>113616000000</v>
      </c>
      <c r="K189">
        <f>IFERROR(GETPIVOTDATA("value", financials_wide!$A$3, "adsh", $E189, "tag", "NetIncomeLoss"),"")</f>
        <v>2453000000</v>
      </c>
      <c r="L189">
        <f>IFERROR(GETPIVOTDATA("value", financials_wide!$A$3, "adsh", $E189, "tag", "StockholdersEquity"),"")</f>
        <v>113616000000</v>
      </c>
      <c r="M189">
        <f t="shared" si="11"/>
        <v>5.8883343895226021</v>
      </c>
      <c r="N189" s="3">
        <f t="shared" si="12"/>
        <v>3.6666173399759945E-3</v>
      </c>
      <c r="O189" t="str">
        <f t="shared" si="13"/>
        <v>Large</v>
      </c>
    </row>
    <row r="190" spans="1:15" x14ac:dyDescent="0.25">
      <c r="A190">
        <v>189</v>
      </c>
      <c r="B190">
        <v>6022</v>
      </c>
      <c r="C190" t="str">
        <v>BANNER CORP</v>
      </c>
      <c r="D190">
        <v>946673</v>
      </c>
      <c r="E190" t="str">
        <v>0000946673-26-000009</v>
      </c>
      <c r="F190">
        <f>IFERROR(GETPIVOTDATA("value", financials_wide!$A$3, "adsh", $E190, "tag", "Assets"),"")</f>
        <v>16354488000</v>
      </c>
      <c r="G190">
        <f>IFERROR(GETPIVOTDATA("value", financials_wide!$A$3, "adsh", $E190, "tag", "EarningsPerShareBasic"),"")</f>
        <v>5.67</v>
      </c>
      <c r="H190">
        <f>IFERROR(IFERROR(GETPIVOTDATA("value", financials_wide!$A$3, "adsh", $E190, "tag", "InterestAndDividendIncomeOperating"), GETPIVOTDATA("value", financials_wide!$A$3, "adsh", $E190, "tag", "InterestIncomeOperating")),"")</f>
        <v>0</v>
      </c>
      <c r="I190">
        <f>IFERROR(GETPIVOTDATA("value", financials_wide!$A$3, "adsh", $E190, "tag", "Liabilities"),"")</f>
        <v>14408191000</v>
      </c>
      <c r="J190">
        <f t="shared" si="10"/>
        <v>1946297000</v>
      </c>
      <c r="K190">
        <f>IFERROR(GETPIVOTDATA("value", financials_wide!$A$3, "adsh", $E190, "tag", "NetIncomeLoss"),"")</f>
        <v>195382000</v>
      </c>
      <c r="L190">
        <f>IFERROR(GETPIVOTDATA("value", financials_wide!$A$3, "adsh", $E190, "tag", "StockholdersEquity"),"")</f>
        <v>1946297000</v>
      </c>
      <c r="M190">
        <f t="shared" si="11"/>
        <v>8.4028737648981622</v>
      </c>
      <c r="N190" s="3">
        <f t="shared" si="12"/>
        <v>1.1946690107327114E-2</v>
      </c>
      <c r="O190" t="str">
        <f t="shared" si="13"/>
        <v>Mid</v>
      </c>
    </row>
    <row r="191" spans="1:15" x14ac:dyDescent="0.25">
      <c r="A191">
        <v>190</v>
      </c>
      <c r="B191">
        <v>6021</v>
      </c>
      <c r="C191" t="str">
        <v>OCEANFIRST FINANCIAL CORP</v>
      </c>
      <c r="D191">
        <v>1004702</v>
      </c>
      <c r="E191" t="str">
        <v>0001004702-26-000015</v>
      </c>
      <c r="F191">
        <f>IFERROR(GETPIVOTDATA("value", financials_wide!$A$3, "adsh", $E191, "tag", "Assets"),"")</f>
        <v>14564317000</v>
      </c>
      <c r="G191">
        <f>IFERROR(GETPIVOTDATA("value", financials_wide!$A$3, "adsh", $E191, "tag", "EarningsPerShareBasic"),"")</f>
        <v>1.17</v>
      </c>
      <c r="H191">
        <f>IFERROR(IFERROR(GETPIVOTDATA("value", financials_wide!$A$3, "adsh", $E191, "tag", "InterestAndDividendIncomeOperating"), GETPIVOTDATA("value", financials_wide!$A$3, "adsh", $E191, "tag", "InterestIncomeOperating")),"")</f>
        <v>642454000</v>
      </c>
      <c r="I191">
        <f>IFERROR(GETPIVOTDATA("value", financials_wide!$A$3, "adsh", $E191, "tag", "Liabilities"),"")</f>
        <v>12901767000</v>
      </c>
      <c r="J191">
        <f t="shared" si="10"/>
        <v>1662550000</v>
      </c>
      <c r="K191">
        <f>IFERROR(GETPIVOTDATA("value", financials_wide!$A$3, "adsh", $E191, "tag", "NetIncomeLoss"),"")</f>
        <v>70978000</v>
      </c>
      <c r="L191">
        <f>IFERROR(GETPIVOTDATA("value", financials_wide!$A$3, "adsh", $E191, "tag", "StockholdersEquity"),"")</f>
        <v>1662550000</v>
      </c>
      <c r="M191">
        <f t="shared" si="11"/>
        <v>8.7602279630687807</v>
      </c>
      <c r="N191" s="3">
        <f t="shared" si="12"/>
        <v>4.8734176824083136E-3</v>
      </c>
      <c r="O191" t="str">
        <f t="shared" si="13"/>
        <v>Mid</v>
      </c>
    </row>
    <row r="192" spans="1:15" x14ac:dyDescent="0.25">
      <c r="A192">
        <v>191</v>
      </c>
      <c r="B192">
        <v>6022</v>
      </c>
      <c r="C192" t="str">
        <v>TOMPKINS FINANCIAL CORP</v>
      </c>
      <c r="D192">
        <v>1005817</v>
      </c>
      <c r="E192" t="str">
        <v>0001005817-26-000027</v>
      </c>
      <c r="F192">
        <f>IFERROR(GETPIVOTDATA("value", financials_wide!$A$3, "adsh", $E192, "tag", "Assets"),"")</f>
        <v>8668268000</v>
      </c>
      <c r="G192">
        <f>IFERROR(GETPIVOTDATA("value", financials_wide!$A$3, "adsh", $E192, "tag", "EarningsPerShareBasic"),"")</f>
        <v>11.3</v>
      </c>
      <c r="H192">
        <f>IFERROR(IFERROR(GETPIVOTDATA("value", financials_wide!$A$3, "adsh", $E192, "tag", "InterestAndDividendIncomeOperating"), GETPIVOTDATA("value", financials_wide!$A$3, "adsh", $E192, "tag", "InterestIncomeOperating")),"")</f>
        <v>382074000</v>
      </c>
      <c r="I192">
        <f>IFERROR(GETPIVOTDATA("value", financials_wide!$A$3, "adsh", $E192, "tag", "Liabilities"),"")</f>
        <v>7729891000</v>
      </c>
      <c r="J192">
        <f t="shared" si="10"/>
        <v>938377000</v>
      </c>
      <c r="K192">
        <f>IFERROR(GETPIVOTDATA("value", financials_wide!$A$3, "adsh", $E192, "tag", "NetIncomeLoss"),"")</f>
        <v>161071000</v>
      </c>
      <c r="L192">
        <f>IFERROR(GETPIVOTDATA("value", financials_wide!$A$3, "adsh", $E192, "tag", "StockholdersEquity"),"")</f>
        <v>0</v>
      </c>
      <c r="M192" t="e">
        <f t="shared" si="11"/>
        <v>#N/A</v>
      </c>
      <c r="N192" s="3">
        <f t="shared" si="12"/>
        <v>1.858168206151448E-2</v>
      </c>
      <c r="O192" t="str">
        <f t="shared" si="13"/>
        <v>Mid</v>
      </c>
    </row>
    <row r="193" spans="1:15" x14ac:dyDescent="0.25">
      <c r="A193">
        <v>192</v>
      </c>
      <c r="B193">
        <v>6022</v>
      </c>
      <c r="C193" t="str">
        <v>WINTRUST FINANCIAL CORP</v>
      </c>
      <c r="D193">
        <v>1015328</v>
      </c>
      <c r="E193" t="str">
        <v>0001015328-26-000007</v>
      </c>
      <c r="F193">
        <f>IFERROR(GETPIVOTDATA("value", financials_wide!$A$3, "adsh", $E193, "tag", "Assets"),"")</f>
        <v>71142046000</v>
      </c>
      <c r="G193">
        <f>IFERROR(GETPIVOTDATA("value", financials_wide!$A$3, "adsh", $E193, "tag", "EarningsPerShareBasic"),"")</f>
        <v>11.57</v>
      </c>
      <c r="H193">
        <f>IFERROR(IFERROR(GETPIVOTDATA("value", financials_wide!$A$3, "adsh", $E193, "tag", "InterestAndDividendIncomeOperating"), GETPIVOTDATA("value", financials_wide!$A$3, "adsh", $E193, "tag", "InterestIncomeOperating")),"")</f>
        <v>3728033000</v>
      </c>
      <c r="I193">
        <f>IFERROR(GETPIVOTDATA("value", financials_wide!$A$3, "adsh", $E193, "tag", "Liabilities"),"")</f>
        <v>63883331000</v>
      </c>
      <c r="J193">
        <f t="shared" si="10"/>
        <v>7258715000</v>
      </c>
      <c r="K193">
        <f>IFERROR(GETPIVOTDATA("value", financials_wide!$A$3, "adsh", $E193, "tag", "NetIncomeLoss"),"")</f>
        <v>823844000</v>
      </c>
      <c r="L193">
        <f>IFERROR(GETPIVOTDATA("value", financials_wide!$A$3, "adsh", $E193, "tag", "StockholdersEquity"),"")</f>
        <v>7258715000</v>
      </c>
      <c r="M193">
        <f t="shared" si="11"/>
        <v>9.8009146246959684</v>
      </c>
      <c r="N193" s="3">
        <f t="shared" si="12"/>
        <v>1.158026857984939E-2</v>
      </c>
      <c r="O193" t="str">
        <f t="shared" si="13"/>
        <v>Large</v>
      </c>
    </row>
    <row r="194" spans="1:15" x14ac:dyDescent="0.25">
      <c r="A194">
        <v>193</v>
      </c>
      <c r="B194">
        <v>6022</v>
      </c>
      <c r="C194" t="str">
        <v>ENTERPRISE FINANCIAL SERVICES CORP</v>
      </c>
      <c r="D194">
        <v>1025835</v>
      </c>
      <c r="E194" t="str">
        <v>0001025835-26-000058</v>
      </c>
      <c r="F194">
        <f>IFERROR(GETPIVOTDATA("value", financials_wide!$A$3, "adsh", $E194, "tag", "Assets"),"")</f>
        <v>17300884000</v>
      </c>
      <c r="G194">
        <f>IFERROR(GETPIVOTDATA("value", financials_wide!$A$3, "adsh", $E194, "tag", "EarningsPerShareBasic"),"")</f>
        <v>5.34</v>
      </c>
      <c r="H194">
        <f>IFERROR(IFERROR(GETPIVOTDATA("value", financials_wide!$A$3, "adsh", $E194, "tag", "InterestAndDividendIncomeOperating"), GETPIVOTDATA("value", financials_wide!$A$3, "adsh", $E194, "tag", "InterestIncomeOperating")),"")</f>
        <v>888410000</v>
      </c>
      <c r="I194">
        <f>IFERROR(GETPIVOTDATA("value", financials_wide!$A$3, "adsh", $E194, "tag", "Liabilities"),"")</f>
        <v>15261498000</v>
      </c>
      <c r="J194">
        <f t="shared" si="10"/>
        <v>2039386000</v>
      </c>
      <c r="K194">
        <f>IFERROR(GETPIVOTDATA("value", financials_wide!$A$3, "adsh", $E194, "tag", "NetIncomeLoss"),"")</f>
        <v>201374000</v>
      </c>
      <c r="L194">
        <f>IFERROR(GETPIVOTDATA("value", financials_wide!$A$3, "adsh", $E194, "tag", "StockholdersEquity"),"")</f>
        <v>2039386000</v>
      </c>
      <c r="M194">
        <f t="shared" si="11"/>
        <v>8.483378820880402</v>
      </c>
      <c r="N194" s="3">
        <f t="shared" si="12"/>
        <v>1.1639520847605243E-2</v>
      </c>
      <c r="O194" t="str">
        <f t="shared" si="13"/>
        <v>Mid</v>
      </c>
    </row>
    <row r="195" spans="1:15" x14ac:dyDescent="0.25">
      <c r="A195">
        <v>194</v>
      </c>
      <c r="B195">
        <v>6022</v>
      </c>
      <c r="C195" t="str">
        <v>OFG BANCORP</v>
      </c>
      <c r="D195">
        <v>1030469</v>
      </c>
      <c r="E195" t="str">
        <v>0001030469-26-000008</v>
      </c>
      <c r="F195">
        <f>IFERROR(GETPIVOTDATA("value", financials_wide!$A$3, "adsh", $E195, "tag", "Assets"),"")</f>
        <v>12465657000</v>
      </c>
      <c r="G195">
        <f>IFERROR(GETPIVOTDATA("value", financials_wide!$A$3, "adsh", $E195, "tag", "EarningsPerShareBasic"),"")</f>
        <v>4.5999999999999996</v>
      </c>
      <c r="H195">
        <f>IFERROR(IFERROR(GETPIVOTDATA("value", financials_wide!$A$3, "adsh", $E195, "tag", "InterestAndDividendIncomeOperating"), GETPIVOTDATA("value", financials_wide!$A$3, "adsh", $E195, "tag", "InterestIncomeOperating")),"")</f>
        <v>780936000</v>
      </c>
      <c r="I195">
        <f>IFERROR(GETPIVOTDATA("value", financials_wide!$A$3, "adsh", $E195, "tag", "Liabilities"),"")</f>
        <v>11075652000</v>
      </c>
      <c r="J195">
        <f t="shared" ref="J195:J258" si="14">IFERROR(F195-I195,"")</f>
        <v>1390005000</v>
      </c>
      <c r="K195">
        <f>IFERROR(GETPIVOTDATA("value", financials_wide!$A$3, "adsh", $E195, "tag", "NetIncomeLoss"),"")</f>
        <v>205103000</v>
      </c>
      <c r="L195">
        <f>IFERROR(GETPIVOTDATA("value", financials_wide!$A$3, "adsh", $E195, "tag", "StockholdersEquity"),"")</f>
        <v>1390005000</v>
      </c>
      <c r="M195">
        <f t="shared" ref="M195:M258" si="15">IFERROR(F195/L195,NA())</f>
        <v>8.9680663019197766</v>
      </c>
      <c r="N195" s="3">
        <f t="shared" ref="N195:N258" si="16">IFERROR(K195/F195,NA())</f>
        <v>1.6453444852525624E-2</v>
      </c>
      <c r="O195" t="str">
        <f t="shared" ref="O195:O258" si="17">IF(F195="","",IF(F195&lt;=$P$2,"Small",IF(F195&lt;=$Q$2,"Mid","Large")))</f>
        <v>Mid</v>
      </c>
    </row>
    <row r="196" spans="1:15" x14ac:dyDescent="0.25">
      <c r="A196">
        <v>195</v>
      </c>
      <c r="B196">
        <v>6021</v>
      </c>
      <c r="C196" t="str">
        <v>SHORE BANCSHARES INC</v>
      </c>
      <c r="D196">
        <v>1035092</v>
      </c>
      <c r="E196" t="str">
        <v>0001035092-26-000014</v>
      </c>
      <c r="F196">
        <f>IFERROR(GETPIVOTDATA("value", financials_wide!$A$3, "adsh", $E196, "tag", "Assets"),"")</f>
        <v>6258818000</v>
      </c>
      <c r="G196">
        <f>IFERROR(GETPIVOTDATA("value", financials_wide!$A$3, "adsh", $E196, "tag", "EarningsPerShareBasic"),"")</f>
        <v>1.78</v>
      </c>
      <c r="H196">
        <f>IFERROR(IFERROR(GETPIVOTDATA("value", financials_wide!$A$3, "adsh", $E196, "tag", "InterestAndDividendIncomeOperating"), GETPIVOTDATA("value", financials_wide!$A$3, "adsh", $E196, "tag", "InterestIncomeOperating")),"")</f>
        <v>310028000</v>
      </c>
      <c r="I196">
        <f>IFERROR(GETPIVOTDATA("value", financials_wide!$A$3, "adsh", $E196, "tag", "Liabilities"),"")</f>
        <v>5668945000</v>
      </c>
      <c r="J196">
        <f t="shared" si="14"/>
        <v>589873000</v>
      </c>
      <c r="K196">
        <f>IFERROR(GETPIVOTDATA("value", financials_wide!$A$3, "adsh", $E196, "tag", "NetIncomeLoss"),"")</f>
        <v>59506000</v>
      </c>
      <c r="L196">
        <f>IFERROR(GETPIVOTDATA("value", financials_wide!$A$3, "adsh", $E196, "tag", "StockholdersEquity"),"")</f>
        <v>589873000</v>
      </c>
      <c r="M196">
        <f t="shared" si="15"/>
        <v>10.610450046026857</v>
      </c>
      <c r="N196" s="3">
        <f t="shared" si="16"/>
        <v>9.507545993508679E-3</v>
      </c>
      <c r="O196" t="str">
        <f t="shared" si="17"/>
        <v>Mid</v>
      </c>
    </row>
    <row r="197" spans="1:15" x14ac:dyDescent="0.25">
      <c r="A197">
        <v>196</v>
      </c>
      <c r="B197">
        <v>6022</v>
      </c>
      <c r="C197" t="str">
        <v>FIRST BANCORP /PR/</v>
      </c>
      <c r="D197">
        <v>1057706</v>
      </c>
      <c r="E197" t="str">
        <v>0001057706-26-000007</v>
      </c>
      <c r="F197">
        <f>IFERROR(GETPIVOTDATA("value", financials_wide!$A$3, "adsh", $E197, "tag", "Assets"),"")</f>
        <v>19132892000</v>
      </c>
      <c r="G197">
        <f>IFERROR(GETPIVOTDATA("value", financials_wide!$A$3, "adsh", $E197, "tag", "EarningsPerShareBasic"),"")</f>
        <v>2.16</v>
      </c>
      <c r="H197">
        <f>IFERROR(IFERROR(GETPIVOTDATA("value", financials_wide!$A$3, "adsh", $E197, "tag", "InterestAndDividendIncomeOperating"), GETPIVOTDATA("value", financials_wide!$A$3, "adsh", $E197, "tag", "InterestIncomeOperating")),"")</f>
        <v>1123156000</v>
      </c>
      <c r="I197">
        <f>IFERROR(GETPIVOTDATA("value", financials_wide!$A$3, "adsh", $E197, "tag", "Liabilities"),"")</f>
        <v>17166027000</v>
      </c>
      <c r="J197">
        <f t="shared" si="14"/>
        <v>1966865000</v>
      </c>
      <c r="K197">
        <f>IFERROR(GETPIVOTDATA("value", financials_wide!$A$3, "adsh", $E197, "tag", "NetIncomeLoss"),"")</f>
        <v>344866000</v>
      </c>
      <c r="L197">
        <f>IFERROR(GETPIVOTDATA("value", financials_wide!$A$3, "adsh", $E197, "tag", "StockholdersEquity"),"")</f>
        <v>1966865000</v>
      </c>
      <c r="M197">
        <f t="shared" si="15"/>
        <v>9.7276081479918552</v>
      </c>
      <c r="N197" s="3">
        <f t="shared" si="16"/>
        <v>1.8024771163711165E-2</v>
      </c>
      <c r="O197" t="str">
        <f t="shared" si="17"/>
        <v>Mid</v>
      </c>
    </row>
    <row r="198" spans="1:15" x14ac:dyDescent="0.25">
      <c r="A198">
        <v>197</v>
      </c>
      <c r="B198">
        <v>6022</v>
      </c>
      <c r="C198" t="str">
        <v>EAST WEST BANCORP INC</v>
      </c>
      <c r="D198">
        <v>1069157</v>
      </c>
      <c r="E198" t="str">
        <v>0001069157-26-000009</v>
      </c>
      <c r="F198">
        <f>IFERROR(GETPIVOTDATA("value", financials_wide!$A$3, "adsh", $E198, "tag", "Assets"),"")</f>
        <v>80434997000</v>
      </c>
      <c r="G198">
        <f>IFERROR(GETPIVOTDATA("value", financials_wide!$A$3, "adsh", $E198, "tag", "EarningsPerShareBasic"),"")</f>
        <v>9.58</v>
      </c>
      <c r="H198">
        <f>IFERROR(IFERROR(GETPIVOTDATA("value", financials_wide!$A$3, "adsh", $E198, "tag", "InterestAndDividendIncomeOperating"), GETPIVOTDATA("value", financials_wide!$A$3, "adsh", $E198, "tag", "InterestIncomeOperating")),"")</f>
        <v>4293396000</v>
      </c>
      <c r="I198">
        <f>IFERROR(GETPIVOTDATA("value", financials_wide!$A$3, "adsh", $E198, "tag", "Liabilities"),"")</f>
        <v>71535795000</v>
      </c>
      <c r="J198">
        <f t="shared" si="14"/>
        <v>8899202000</v>
      </c>
      <c r="K198">
        <f>IFERROR(GETPIVOTDATA("value", financials_wide!$A$3, "adsh", $E198, "tag", "NetIncomeLoss"),"")</f>
        <v>1325188000</v>
      </c>
      <c r="L198">
        <f>IFERROR(GETPIVOTDATA("value", financials_wide!$A$3, "adsh", $E198, "tag", "StockholdersEquity"),"")</f>
        <v>8899202000</v>
      </c>
      <c r="M198">
        <f t="shared" si="15"/>
        <v>9.0384505262381953</v>
      </c>
      <c r="N198" s="3">
        <f t="shared" si="16"/>
        <v>1.6475266357006267E-2</v>
      </c>
      <c r="O198" t="str">
        <f t="shared" si="17"/>
        <v>Large</v>
      </c>
    </row>
    <row r="199" spans="1:15" x14ac:dyDescent="0.25">
      <c r="A199">
        <v>198</v>
      </c>
      <c r="B199">
        <v>6022</v>
      </c>
      <c r="C199" t="str">
        <v>TEXAS CAPITAL BANCSHARES INC/TX</v>
      </c>
      <c r="D199">
        <v>1077428</v>
      </c>
      <c r="E199" t="str">
        <v>0001077428-26-000010</v>
      </c>
      <c r="F199">
        <f>IFERROR(GETPIVOTDATA("value", financials_wide!$A$3, "adsh", $E199, "tag", "Assets"),"")</f>
        <v>31540274000</v>
      </c>
      <c r="G199">
        <f>IFERROR(GETPIVOTDATA("value", financials_wide!$A$3, "adsh", $E199, "tag", "EarningsPerShareBasic"),"")</f>
        <v>6.86</v>
      </c>
      <c r="H199">
        <f>IFERROR(IFERROR(GETPIVOTDATA("value", financials_wide!$A$3, "adsh", $E199, "tag", "InterestAndDividendIncomeOperating"), GETPIVOTDATA("value", financials_wide!$A$3, "adsh", $E199, "tag", "InterestIncomeOperating")),"")</f>
        <v>1771785000</v>
      </c>
      <c r="I199">
        <f>IFERROR(GETPIVOTDATA("value", financials_wide!$A$3, "adsh", $E199, "tag", "Liabilities"),"")</f>
        <v>27908892000</v>
      </c>
      <c r="J199">
        <f t="shared" si="14"/>
        <v>3631382000</v>
      </c>
      <c r="K199">
        <f>IFERROR(GETPIVOTDATA("value", financials_wide!$A$3, "adsh", $E199, "tag", "NetIncomeLoss"),"")</f>
        <v>330244000</v>
      </c>
      <c r="L199">
        <f>IFERROR(GETPIVOTDATA("value", financials_wide!$A$3, "adsh", $E199, "tag", "StockholdersEquity"),"")</f>
        <v>3631382000</v>
      </c>
      <c r="M199">
        <f t="shared" si="15"/>
        <v>8.6854740151270224</v>
      </c>
      <c r="N199" s="3">
        <f t="shared" si="16"/>
        <v>1.0470549494909271E-2</v>
      </c>
      <c r="O199" t="str">
        <f t="shared" si="17"/>
        <v>Large</v>
      </c>
    </row>
    <row r="200" spans="1:15" x14ac:dyDescent="0.25">
      <c r="A200">
        <v>199</v>
      </c>
      <c r="B200">
        <v>6022</v>
      </c>
      <c r="C200" t="str">
        <v>HILLTOP HOLDINGS INC.</v>
      </c>
      <c r="D200">
        <v>1265131</v>
      </c>
      <c r="E200" t="str">
        <v>0001104659-26-015264</v>
      </c>
      <c r="F200">
        <f>IFERROR(GETPIVOTDATA("value", financials_wide!$A$3, "adsh", $E200, "tag", "Assets"),"")</f>
        <v>15844994000</v>
      </c>
      <c r="G200">
        <f>IFERROR(GETPIVOTDATA("value", financials_wide!$A$3, "adsh", $E200, "tag", "EarningsPerShareBasic"),"")</f>
        <v>2.64</v>
      </c>
      <c r="H200">
        <f>IFERROR(IFERROR(GETPIVOTDATA("value", financials_wide!$A$3, "adsh", $E200, "tag", "InterestAndDividendIncomeOperating"), GETPIVOTDATA("value", financials_wide!$A$3, "adsh", $E200, "tag", "InterestIncomeOperating")),"")</f>
        <v>784050000</v>
      </c>
      <c r="I200">
        <f>IFERROR(GETPIVOTDATA("value", financials_wide!$A$3, "adsh", $E200, "tag", "Liabilities"),"")</f>
        <v>13647388000</v>
      </c>
      <c r="J200">
        <f t="shared" si="14"/>
        <v>2197606000</v>
      </c>
      <c r="K200">
        <f>IFERROR(GETPIVOTDATA("value", financials_wide!$A$3, "adsh", $E200, "tag", "NetIncomeLoss"),"")</f>
        <v>165591000</v>
      </c>
      <c r="L200">
        <f>IFERROR(GETPIVOTDATA("value", financials_wide!$A$3, "adsh", $E200, "tag", "StockholdersEquity"),"")</f>
        <v>2168401000</v>
      </c>
      <c r="M200">
        <f t="shared" si="15"/>
        <v>7.3072250012797451</v>
      </c>
      <c r="N200" s="3">
        <f t="shared" si="16"/>
        <v>1.0450682404802425E-2</v>
      </c>
      <c r="O200" t="str">
        <f t="shared" si="17"/>
        <v>Mid</v>
      </c>
    </row>
    <row r="201" spans="1:15" x14ac:dyDescent="0.25">
      <c r="A201">
        <v>200</v>
      </c>
      <c r="B201">
        <v>6022</v>
      </c>
      <c r="C201" t="str">
        <v>SOUTHSTATE BANK CORP</v>
      </c>
      <c r="D201">
        <v>764038</v>
      </c>
      <c r="E201" t="str">
        <v>0001104659-26-017884</v>
      </c>
      <c r="F201">
        <f>IFERROR(GETPIVOTDATA("value", financials_wide!$A$3, "adsh", $E201, "tag", "Assets"),"")</f>
        <v>67197412000</v>
      </c>
      <c r="G201">
        <f>IFERROR(GETPIVOTDATA("value", financials_wide!$A$3, "adsh", $E201, "tag", "EarningsPerShareBasic"),"")</f>
        <v>7.9</v>
      </c>
      <c r="H201">
        <f>IFERROR(IFERROR(GETPIVOTDATA("value", financials_wide!$A$3, "adsh", $E201, "tag", "InterestAndDividendIncomeOperating"), GETPIVOTDATA("value", financials_wide!$A$3, "adsh", $E201, "tag", "InterestIncomeOperating")),"")</f>
        <v>3379498000</v>
      </c>
      <c r="I201">
        <f>IFERROR(GETPIVOTDATA("value", financials_wide!$A$3, "adsh", $E201, "tag", "Liabilities"),"")</f>
        <v>58138304000</v>
      </c>
      <c r="J201">
        <f t="shared" si="14"/>
        <v>9059108000</v>
      </c>
      <c r="K201">
        <f>IFERROR(GETPIVOTDATA("value", financials_wide!$A$3, "adsh", $E201, "tag", "NetIncomeLoss"),"")</f>
        <v>798667000</v>
      </c>
      <c r="L201">
        <f>IFERROR(GETPIVOTDATA("value", financials_wide!$A$3, "adsh", $E201, "tag", "StockholdersEquity"),"")</f>
        <v>9059108000</v>
      </c>
      <c r="M201">
        <f t="shared" si="15"/>
        <v>7.4176631959791184</v>
      </c>
      <c r="N201" s="3">
        <f t="shared" si="16"/>
        <v>1.1885383323988728E-2</v>
      </c>
      <c r="O201" t="str">
        <f t="shared" si="17"/>
        <v>Large</v>
      </c>
    </row>
    <row r="202" spans="1:15" x14ac:dyDescent="0.25">
      <c r="A202">
        <v>201</v>
      </c>
      <c r="B202">
        <v>6022</v>
      </c>
      <c r="C202" t="str">
        <v>METROPOLITAN BANK HOLDING CORP.</v>
      </c>
      <c r="D202">
        <v>1476034</v>
      </c>
      <c r="E202" t="str">
        <v>0001104659-26-018208</v>
      </c>
      <c r="F202">
        <f>IFERROR(GETPIVOTDATA("value", financials_wide!$A$3, "adsh", $E202, "tag", "Assets"),"")</f>
        <v>8255716000</v>
      </c>
      <c r="G202">
        <f>IFERROR(GETPIVOTDATA("value", financials_wide!$A$3, "adsh", $E202, "tag", "EarningsPerShareBasic"),"")</f>
        <v>6.71</v>
      </c>
      <c r="H202">
        <f>IFERROR(IFERROR(GETPIVOTDATA("value", financials_wide!$A$3, "adsh", $E202, "tag", "InterestAndDividendIncomeOperating"), GETPIVOTDATA("value", financials_wide!$A$3, "adsh", $E202, "tag", "InterestIncomeOperating")),"")</f>
        <v>515278000</v>
      </c>
      <c r="I202">
        <f>IFERROR(GETPIVOTDATA("value", financials_wide!$A$3, "adsh", $E202, "tag", "Liabilities"),"")</f>
        <v>7512604000</v>
      </c>
      <c r="J202">
        <f t="shared" si="14"/>
        <v>743112000</v>
      </c>
      <c r="K202">
        <f>IFERROR(GETPIVOTDATA("value", financials_wide!$A$3, "adsh", $E202, "tag", "NetIncomeLoss"),"")</f>
        <v>71098000</v>
      </c>
      <c r="L202">
        <f>IFERROR(GETPIVOTDATA("value", financials_wide!$A$3, "adsh", $E202, "tag", "StockholdersEquity"),"")</f>
        <v>743112000</v>
      </c>
      <c r="M202">
        <f t="shared" si="15"/>
        <v>11.109652380798588</v>
      </c>
      <c r="N202" s="3">
        <f t="shared" si="16"/>
        <v>8.6119726017707E-3</v>
      </c>
      <c r="O202" t="str">
        <f t="shared" si="17"/>
        <v>Mid</v>
      </c>
    </row>
    <row r="203" spans="1:15" x14ac:dyDescent="0.25">
      <c r="A203">
        <v>202</v>
      </c>
      <c r="B203">
        <v>6021</v>
      </c>
      <c r="C203" t="str">
        <v>NATIONAL BANK HOLDINGS CORP</v>
      </c>
      <c r="D203">
        <v>1475841</v>
      </c>
      <c r="E203" t="str">
        <v>0001104659-26-019119</v>
      </c>
      <c r="F203">
        <f>IFERROR(GETPIVOTDATA("value", financials_wide!$A$3, "adsh", $E203, "tag", "Assets"),"")</f>
        <v>9883518000</v>
      </c>
      <c r="G203">
        <f>IFERROR(GETPIVOTDATA("value", financials_wide!$A$3, "adsh", $E203, "tag", "EarningsPerShareBasic"),"")</f>
        <v>2.86</v>
      </c>
      <c r="H203">
        <f>IFERROR(IFERROR(GETPIVOTDATA("value", financials_wide!$A$3, "adsh", $E203, "tag", "InterestAndDividendIncomeOperating"), GETPIVOTDATA("value", financials_wide!$A$3, "adsh", $E203, "tag", "InterestIncomeOperating")),"")</f>
        <v>519774000</v>
      </c>
      <c r="I203">
        <f>IFERROR(GETPIVOTDATA("value", financials_wide!$A$3, "adsh", $E203, "tag", "Liabilities"),"")</f>
        <v>8498404000</v>
      </c>
      <c r="J203">
        <f t="shared" si="14"/>
        <v>1385114000</v>
      </c>
      <c r="K203">
        <f>IFERROR(GETPIVOTDATA("value", financials_wide!$A$3, "adsh", $E203, "tag", "NetIncomeLoss"),"")</f>
        <v>109574000</v>
      </c>
      <c r="L203">
        <f>IFERROR(GETPIVOTDATA("value", financials_wide!$A$3, "adsh", $E203, "tag", "StockholdersEquity"),"")</f>
        <v>1385114000</v>
      </c>
      <c r="M203">
        <f t="shared" si="15"/>
        <v>7.135526750866716</v>
      </c>
      <c r="N203" s="3">
        <f t="shared" si="16"/>
        <v>1.1086538214429316E-2</v>
      </c>
      <c r="O203" t="str">
        <f t="shared" si="17"/>
        <v>Mid</v>
      </c>
    </row>
    <row r="204" spans="1:15" x14ac:dyDescent="0.25">
      <c r="A204">
        <v>203</v>
      </c>
      <c r="B204">
        <v>6022</v>
      </c>
      <c r="C204" t="str">
        <v>BRIDGEWATER BANCSHARES INC</v>
      </c>
      <c r="D204">
        <v>1341317</v>
      </c>
      <c r="E204" t="str">
        <v>0001104659-26-020063</v>
      </c>
      <c r="F204">
        <f>IFERROR(GETPIVOTDATA("value", financials_wide!$A$3, "adsh", $E204, "tag", "Assets"),"")</f>
        <v>5407002000</v>
      </c>
      <c r="G204">
        <f>IFERROR(GETPIVOTDATA("value", financials_wide!$A$3, "adsh", $E204, "tag", "EarningsPerShareBasic"),"")</f>
        <v>1.53</v>
      </c>
      <c r="H204">
        <f>IFERROR(IFERROR(GETPIVOTDATA("value", financials_wide!$A$3, "adsh", $E204, "tag", "InterestAndDividendIncomeOperating"), GETPIVOTDATA("value", financials_wide!$A$3, "adsh", $E204, "tag", "InterestIncomeOperating")),"")</f>
        <v>281848000</v>
      </c>
      <c r="I204">
        <f>IFERROR(GETPIVOTDATA("value", financials_wide!$A$3, "adsh", $E204, "tag", "Liabilities"),"")</f>
        <v>4889907000</v>
      </c>
      <c r="J204">
        <f t="shared" si="14"/>
        <v>517095000</v>
      </c>
      <c r="K204">
        <f>IFERROR(GETPIVOTDATA("value", financials_wide!$A$3, "adsh", $E204, "tag", "NetIncomeLoss"),"")</f>
        <v>46088000</v>
      </c>
      <c r="L204">
        <f>IFERROR(GETPIVOTDATA("value", financials_wide!$A$3, "adsh", $E204, "tag", "StockholdersEquity"),"")</f>
        <v>517095000</v>
      </c>
      <c r="M204">
        <f t="shared" si="15"/>
        <v>10.456496388477939</v>
      </c>
      <c r="N204" s="3">
        <f t="shared" si="16"/>
        <v>8.5237623363187218E-3</v>
      </c>
      <c r="O204" t="str">
        <f t="shared" si="17"/>
        <v>Mid</v>
      </c>
    </row>
    <row r="205" spans="1:15" x14ac:dyDescent="0.25">
      <c r="A205">
        <v>204</v>
      </c>
      <c r="B205">
        <v>6022</v>
      </c>
      <c r="C205" t="str">
        <v>OLD SECOND BANCORP INC</v>
      </c>
      <c r="D205">
        <v>357173</v>
      </c>
      <c r="E205" t="str">
        <v>0001104659-26-020393</v>
      </c>
      <c r="F205">
        <f>IFERROR(GETPIVOTDATA("value", financials_wide!$A$3, "adsh", $E205, "tag", "Assets"),"")</f>
        <v>6902675000</v>
      </c>
      <c r="G205">
        <f>IFERROR(GETPIVOTDATA("value", financials_wide!$A$3, "adsh", $E205, "tag", "EarningsPerShareBasic"),"")</f>
        <v>1.64</v>
      </c>
      <c r="H205">
        <f>IFERROR(IFERROR(GETPIVOTDATA("value", financials_wide!$A$3, "adsh", $E205, "tag", "InterestAndDividendIncomeOperating"), GETPIVOTDATA("value", financials_wide!$A$3, "adsh", $E205, "tag", "InterestIncomeOperating")),"")</f>
        <v>355181000</v>
      </c>
      <c r="I205">
        <f>IFERROR(GETPIVOTDATA("value", financials_wide!$A$3, "adsh", $E205, "tag", "Liabilities"),"")</f>
        <v>6005907000</v>
      </c>
      <c r="J205">
        <f t="shared" si="14"/>
        <v>896768000</v>
      </c>
      <c r="K205">
        <f>IFERROR(GETPIVOTDATA("value", financials_wide!$A$3, "adsh", $E205, "tag", "NetIncomeLoss"),"")</f>
        <v>80310000</v>
      </c>
      <c r="L205">
        <f>IFERROR(GETPIVOTDATA("value", financials_wide!$A$3, "adsh", $E205, "tag", "StockholdersEquity"),"")</f>
        <v>896768000</v>
      </c>
      <c r="M205">
        <f t="shared" si="15"/>
        <v>7.697280679060805</v>
      </c>
      <c r="N205" s="3">
        <f t="shared" si="16"/>
        <v>1.163461991184577E-2</v>
      </c>
      <c r="O205" t="str">
        <f t="shared" si="17"/>
        <v>Mid</v>
      </c>
    </row>
    <row r="206" spans="1:15" x14ac:dyDescent="0.25">
      <c r="A206">
        <v>205</v>
      </c>
      <c r="B206">
        <v>6022</v>
      </c>
      <c r="C206" t="str">
        <v>INTERNATIONAL BANCSHARES CORP</v>
      </c>
      <c r="D206">
        <v>315709</v>
      </c>
      <c r="E206" t="str">
        <v>0001104659-26-020439</v>
      </c>
      <c r="F206">
        <f>IFERROR(GETPIVOTDATA("value", financials_wide!$A$3, "adsh", $E206, "tag", "Assets"),"")</f>
        <v>16576335000</v>
      </c>
      <c r="G206">
        <f>IFERROR(GETPIVOTDATA("value", financials_wide!$A$3, "adsh", $E206, "tag", "EarningsPerShareBasic"),"")</f>
        <v>6.63</v>
      </c>
      <c r="H206">
        <f>IFERROR(IFERROR(GETPIVOTDATA("value", financials_wide!$A$3, "adsh", $E206, "tag", "InterestAndDividendIncomeOperating"), GETPIVOTDATA("value", financials_wide!$A$3, "adsh", $E206, "tag", "InterestIncomeOperating")),"")</f>
        <v>886274000</v>
      </c>
      <c r="I206">
        <f>IFERROR(GETPIVOTDATA("value", financials_wide!$A$3, "adsh", $E206, "tag", "Liabilities"),"")</f>
        <v>13324697000</v>
      </c>
      <c r="J206">
        <f t="shared" si="14"/>
        <v>3251638000</v>
      </c>
      <c r="K206">
        <f>IFERROR(GETPIVOTDATA("value", financials_wide!$A$3, "adsh", $E206, "tag", "NetIncomeLoss"),"")</f>
        <v>412293000</v>
      </c>
      <c r="L206">
        <f>IFERROR(GETPIVOTDATA("value", financials_wide!$A$3, "adsh", $E206, "tag", "StockholdersEquity"),"")</f>
        <v>3251638000</v>
      </c>
      <c r="M206">
        <f t="shared" si="15"/>
        <v>5.0978414571363722</v>
      </c>
      <c r="N206" s="3">
        <f t="shared" si="16"/>
        <v>2.4872385844036091E-2</v>
      </c>
      <c r="O206" t="str">
        <f t="shared" si="17"/>
        <v>Mid</v>
      </c>
    </row>
    <row r="207" spans="1:15" x14ac:dyDescent="0.25">
      <c r="A207">
        <v>206</v>
      </c>
      <c r="B207">
        <v>6022</v>
      </c>
      <c r="C207" t="str">
        <v>SIERRA BANCORP</v>
      </c>
      <c r="D207">
        <v>1130144</v>
      </c>
      <c r="E207" t="str">
        <v>0001104659-26-021479</v>
      </c>
      <c r="F207">
        <f>IFERROR(GETPIVOTDATA("value", financials_wide!$A$3, "adsh", $E207, "tag", "Assets"),"")</f>
        <v>3829279000</v>
      </c>
      <c r="G207">
        <f>IFERROR(GETPIVOTDATA("value", financials_wide!$A$3, "adsh", $E207, "tag", "EarningsPerShareBasic"),"")</f>
        <v>3.14</v>
      </c>
      <c r="H207">
        <f>IFERROR(IFERROR(GETPIVOTDATA("value", financials_wide!$A$3, "adsh", $E207, "tag", "InterestAndDividendIncomeOperating"), GETPIVOTDATA("value", financials_wide!$A$3, "adsh", $E207, "tag", "InterestIncomeOperating")),"")</f>
        <v>171388000</v>
      </c>
      <c r="I207">
        <f>IFERROR(GETPIVOTDATA("value", financials_wide!$A$3, "adsh", $E207, "tag", "Liabilities"),"")</f>
        <v>3464416000</v>
      </c>
      <c r="J207">
        <f t="shared" si="14"/>
        <v>364863000</v>
      </c>
      <c r="K207">
        <f>IFERROR(GETPIVOTDATA("value", financials_wide!$A$3, "adsh", $E207, "tag", "NetIncomeLoss"),"")</f>
        <v>42327000</v>
      </c>
      <c r="L207">
        <f>IFERROR(GETPIVOTDATA("value", financials_wide!$A$3, "adsh", $E207, "tag", "StockholdersEquity"),"")</f>
        <v>364863000</v>
      </c>
      <c r="M207">
        <f t="shared" si="15"/>
        <v>10.495114604659831</v>
      </c>
      <c r="N207" s="3">
        <f t="shared" si="16"/>
        <v>1.105351686309616E-2</v>
      </c>
      <c r="O207" t="str">
        <f t="shared" si="17"/>
        <v>Mid</v>
      </c>
    </row>
    <row r="208" spans="1:15" x14ac:dyDescent="0.25">
      <c r="A208">
        <v>207</v>
      </c>
      <c r="B208">
        <v>6022</v>
      </c>
      <c r="C208" t="str">
        <v>QCR HOLDINGS INC</v>
      </c>
      <c r="D208">
        <v>906465</v>
      </c>
      <c r="E208" t="str">
        <v>0001104659-26-021531</v>
      </c>
      <c r="F208">
        <f>IFERROR(GETPIVOTDATA("value", financials_wide!$A$3, "adsh", $E208, "tag", "Assets"),"")</f>
        <v>9575470000</v>
      </c>
      <c r="G208">
        <f>IFERROR(GETPIVOTDATA("value", financials_wide!$A$3, "adsh", $E208, "tag", "EarningsPerShareBasic"),"")</f>
        <v>7.54</v>
      </c>
      <c r="H208">
        <f>IFERROR(IFERROR(GETPIVOTDATA("value", financials_wide!$A$3, "adsh", $E208, "tag", "InterestAndDividendIncomeOperating"), GETPIVOTDATA("value", financials_wide!$A$3, "adsh", $E208, "tag", "InterestIncomeOperating")),"")</f>
        <v>489426000</v>
      </c>
      <c r="I208">
        <f>IFERROR(GETPIVOTDATA("value", financials_wide!$A$3, "adsh", $E208, "tag", "Liabilities"),"")</f>
        <v>8463159000</v>
      </c>
      <c r="J208">
        <f t="shared" si="14"/>
        <v>1112311000</v>
      </c>
      <c r="K208">
        <f>IFERROR(GETPIVOTDATA("value", financials_wide!$A$3, "adsh", $E208, "tag", "NetIncomeLoss"),"")</f>
        <v>127194000</v>
      </c>
      <c r="L208">
        <f>IFERROR(GETPIVOTDATA("value", financials_wide!$A$3, "adsh", $E208, "tag", "StockholdersEquity"),"")</f>
        <v>1112311000</v>
      </c>
      <c r="M208">
        <f t="shared" si="15"/>
        <v>8.608626544194923</v>
      </c>
      <c r="N208" s="3">
        <f t="shared" si="16"/>
        <v>1.3283316641376349E-2</v>
      </c>
      <c r="O208" t="str">
        <f t="shared" si="17"/>
        <v>Mid</v>
      </c>
    </row>
    <row r="209" spans="1:15" x14ac:dyDescent="0.25">
      <c r="A209">
        <v>208</v>
      </c>
      <c r="B209">
        <v>6022</v>
      </c>
      <c r="C209" t="str">
        <v>FIRST HAWAIIAN, INC.</v>
      </c>
      <c r="D209">
        <v>36377</v>
      </c>
      <c r="E209" t="str">
        <v>0001104659-26-021544</v>
      </c>
      <c r="F209">
        <f>IFERROR(GETPIVOTDATA("value", financials_wide!$A$3, "adsh", $E209, "tag", "Assets"),"")</f>
        <v>23955252000</v>
      </c>
      <c r="G209">
        <f>IFERROR(GETPIVOTDATA("value", financials_wide!$A$3, "adsh", $E209, "tag", "EarningsPerShareBasic"),"")</f>
        <v>2.21</v>
      </c>
      <c r="H209">
        <f>IFERROR(IFERROR(GETPIVOTDATA("value", financials_wide!$A$3, "adsh", $E209, "tag", "InterestAndDividendIncomeOperating"), GETPIVOTDATA("value", financials_wide!$A$3, "adsh", $E209, "tag", "InterestIncomeOperating")),"")</f>
        <v>951303000</v>
      </c>
      <c r="I209">
        <f>IFERROR(GETPIVOTDATA("value", financials_wide!$A$3, "adsh", $E209, "tag", "Liabilities"),"")</f>
        <v>21185887000</v>
      </c>
      <c r="J209">
        <f t="shared" si="14"/>
        <v>2769365000</v>
      </c>
      <c r="K209">
        <f>IFERROR(GETPIVOTDATA("value", financials_wide!$A$3, "adsh", $E209, "tag", "NetIncomeLoss"),"")</f>
        <v>276266000</v>
      </c>
      <c r="L209">
        <f>IFERROR(GETPIVOTDATA("value", financials_wide!$A$3, "adsh", $E209, "tag", "StockholdersEquity"),"")</f>
        <v>2769365000</v>
      </c>
      <c r="M209">
        <f t="shared" si="15"/>
        <v>8.6500883776605821</v>
      </c>
      <c r="N209" s="3">
        <f t="shared" si="16"/>
        <v>1.1532585839631326E-2</v>
      </c>
      <c r="O209" t="str">
        <f t="shared" si="17"/>
        <v>Large</v>
      </c>
    </row>
    <row r="210" spans="1:15" x14ac:dyDescent="0.25">
      <c r="A210">
        <v>209</v>
      </c>
      <c r="B210">
        <v>6022</v>
      </c>
      <c r="C210" t="str">
        <v>MERCHANTS BANCORP</v>
      </c>
      <c r="D210">
        <v>1629019</v>
      </c>
      <c r="E210" t="str">
        <v>0001104659-26-021549</v>
      </c>
      <c r="F210">
        <f>IFERROR(GETPIVOTDATA("value", financials_wide!$A$3, "adsh", $E210, "tag", "Assets"),"")</f>
        <v>19448943000</v>
      </c>
      <c r="G210">
        <f>IFERROR(GETPIVOTDATA("value", financials_wide!$A$3, "adsh", $E210, "tag", "EarningsPerShareBasic"),"")</f>
        <v>3.78</v>
      </c>
      <c r="H210">
        <f>IFERROR(IFERROR(GETPIVOTDATA("value", financials_wide!$A$3, "adsh", $E210, "tag", "InterestAndDividendIncomeOperating"), GETPIVOTDATA("value", financials_wide!$A$3, "adsh", $E210, "tag", "InterestIncomeOperating")),"")</f>
        <v>1200851000</v>
      </c>
      <c r="I210">
        <f>IFERROR(GETPIVOTDATA("value", financials_wide!$A$3, "adsh", $E210, "tag", "Liabilities"),"")</f>
        <v>17168184000</v>
      </c>
      <c r="J210">
        <f t="shared" si="14"/>
        <v>2280759000</v>
      </c>
      <c r="K210">
        <f>IFERROR(GETPIVOTDATA("value", financials_wide!$A$3, "adsh", $E210, "tag", "NetIncomeLoss"),"")</f>
        <v>218770000</v>
      </c>
      <c r="L210">
        <f>IFERROR(GETPIVOTDATA("value", financials_wide!$A$3, "adsh", $E210, "tag", "StockholdersEquity"),"")</f>
        <v>2280759000</v>
      </c>
      <c r="M210">
        <f t="shared" si="15"/>
        <v>8.5273994315050388</v>
      </c>
      <c r="N210" s="3">
        <f t="shared" si="16"/>
        <v>1.1248426199819703E-2</v>
      </c>
      <c r="O210" t="str">
        <f t="shared" si="17"/>
        <v>Large</v>
      </c>
    </row>
    <row r="211" spans="1:15" x14ac:dyDescent="0.25">
      <c r="A211">
        <v>210</v>
      </c>
      <c r="B211">
        <v>6021</v>
      </c>
      <c r="C211" t="str">
        <v>BANK FIRST CORP</v>
      </c>
      <c r="D211">
        <v>1746109</v>
      </c>
      <c r="E211" t="str">
        <v>0001104659-26-021567</v>
      </c>
      <c r="F211">
        <f>IFERROR(GETPIVOTDATA("value", financials_wide!$A$3, "adsh", $E211, "tag", "Assets"),"")</f>
        <v>4506095000</v>
      </c>
      <c r="G211">
        <f>IFERROR(GETPIVOTDATA("value", financials_wide!$A$3, "adsh", $E211, "tag", "EarningsPerShareBasic"),"")</f>
        <v>7.23</v>
      </c>
      <c r="H211">
        <f>IFERROR(IFERROR(GETPIVOTDATA("value", financials_wide!$A$3, "adsh", $E211, "tag", "InterestAndDividendIncomeOperating"), GETPIVOTDATA("value", financials_wide!$A$3, "adsh", $E211, "tag", "InterestIncomeOperating")),"")</f>
        <v>221715000</v>
      </c>
      <c r="I211">
        <f>IFERROR(GETPIVOTDATA("value", financials_wide!$A$3, "adsh", $E211, "tag", "Liabilities"),"")</f>
        <v>3862259000</v>
      </c>
      <c r="J211">
        <f t="shared" si="14"/>
        <v>643836000</v>
      </c>
      <c r="K211">
        <f>IFERROR(GETPIVOTDATA("value", financials_wide!$A$3, "adsh", $E211, "tag", "NetIncomeLoss"),"")</f>
        <v>71496000</v>
      </c>
      <c r="L211">
        <f>IFERROR(GETPIVOTDATA("value", financials_wide!$A$3, "adsh", $E211, "tag", "StockholdersEquity"),"")</f>
        <v>643836000</v>
      </c>
      <c r="M211">
        <f t="shared" si="15"/>
        <v>6.998824234743009</v>
      </c>
      <c r="N211" s="3">
        <f t="shared" si="16"/>
        <v>1.5866509694092115E-2</v>
      </c>
      <c r="O211" t="str">
        <f t="shared" si="17"/>
        <v>Mid</v>
      </c>
    </row>
    <row r="212" spans="1:15" x14ac:dyDescent="0.25">
      <c r="A212">
        <v>211</v>
      </c>
      <c r="B212">
        <v>6021</v>
      </c>
      <c r="C212" t="str">
        <v>COMMUNITY FINANCIAL SYSTEM, INC.</v>
      </c>
      <c r="D212">
        <v>723188</v>
      </c>
      <c r="E212" t="str">
        <v>0001104659-26-021651</v>
      </c>
      <c r="F212">
        <f>IFERROR(GETPIVOTDATA("value", financials_wide!$A$3, "adsh", $E212, "tag", "Assets"),"")</f>
        <v>17303296000</v>
      </c>
      <c r="G212">
        <f>IFERROR(GETPIVOTDATA("value", financials_wide!$A$3, "adsh", $E212, "tag", "EarningsPerShareBasic"),"")</f>
        <v>3.98</v>
      </c>
      <c r="H212">
        <f>IFERROR(IFERROR(GETPIVOTDATA("value", financials_wide!$A$3, "adsh", $E212, "tag", "InterestAndDividendIncomeOperating"), GETPIVOTDATA("value", financials_wide!$A$3, "adsh", $E212, "tag", "InterestIncomeOperating")),"")</f>
        <v>699275000</v>
      </c>
      <c r="I212">
        <f>IFERROR(GETPIVOTDATA("value", financials_wide!$A$3, "adsh", $E212, "tag", "Liabilities"),"")</f>
        <v>15297262000</v>
      </c>
      <c r="J212">
        <f t="shared" si="14"/>
        <v>2006034000</v>
      </c>
      <c r="K212">
        <f>IFERROR(GETPIVOTDATA("value", financials_wide!$A$3, "adsh", $E212, "tag", "NetIncomeLoss"),"")</f>
        <v>210455000</v>
      </c>
      <c r="L212">
        <f>IFERROR(GETPIVOTDATA("value", financials_wide!$A$3, "adsh", $E212, "tag", "StockholdersEquity"),"")</f>
        <v>2006034000</v>
      </c>
      <c r="M212">
        <f t="shared" si="15"/>
        <v>8.625624490910921</v>
      </c>
      <c r="N212" s="3">
        <f t="shared" si="16"/>
        <v>1.2162711659096626E-2</v>
      </c>
      <c r="O212" t="str">
        <f t="shared" si="17"/>
        <v>Mid</v>
      </c>
    </row>
    <row r="213" spans="1:15" x14ac:dyDescent="0.25">
      <c r="A213">
        <v>212</v>
      </c>
      <c r="B213">
        <v>6021</v>
      </c>
      <c r="C213" t="str">
        <v>HOPE BANCORP INC</v>
      </c>
      <c r="D213">
        <v>1128361</v>
      </c>
      <c r="E213" t="str">
        <v>0001128361-26-000011</v>
      </c>
      <c r="F213">
        <f>IFERROR(GETPIVOTDATA("value", financials_wide!$A$3, "adsh", $E213, "tag", "Assets"),"")</f>
        <v>18531626000</v>
      </c>
      <c r="G213">
        <f>IFERROR(GETPIVOTDATA("value", financials_wide!$A$3, "adsh", $E213, "tag", "EarningsPerShareBasic"),"")</f>
        <v>0.49</v>
      </c>
      <c r="H213">
        <f>IFERROR(IFERROR(GETPIVOTDATA("value", financials_wide!$A$3, "adsh", $E213, "tag", "InterestAndDividendIncomeOperating"), GETPIVOTDATA("value", financials_wide!$A$3, "adsh", $E213, "tag", "InterestIncomeOperating")),"")</f>
        <v>941164000</v>
      </c>
      <c r="I213">
        <f>IFERROR(GETPIVOTDATA("value", financials_wide!$A$3, "adsh", $E213, "tag", "Liabilities"),"")</f>
        <v>16248358000</v>
      </c>
      <c r="J213">
        <f t="shared" si="14"/>
        <v>2283268000</v>
      </c>
      <c r="K213">
        <f>IFERROR(GETPIVOTDATA("value", financials_wide!$A$3, "adsh", $E213, "tag", "NetIncomeLoss"),"")</f>
        <v>61588000</v>
      </c>
      <c r="L213">
        <f>IFERROR(GETPIVOTDATA("value", financials_wide!$A$3, "adsh", $E213, "tag", "StockholdersEquity"),"")</f>
        <v>2283268000</v>
      </c>
      <c r="M213">
        <f t="shared" si="15"/>
        <v>8.1162728159813042</v>
      </c>
      <c r="N213" s="3">
        <f t="shared" si="16"/>
        <v>3.3233996844097761E-3</v>
      </c>
      <c r="O213" t="str">
        <f t="shared" si="17"/>
        <v>Mid</v>
      </c>
    </row>
    <row r="214" spans="1:15" x14ac:dyDescent="0.25">
      <c r="A214">
        <v>213</v>
      </c>
      <c r="B214">
        <v>6022</v>
      </c>
      <c r="C214" t="str">
        <v>COMMUNITY TRUST BANCORP INC /KY/</v>
      </c>
      <c r="D214">
        <v>350852</v>
      </c>
      <c r="E214" t="str">
        <v>0001140361-26-007058</v>
      </c>
      <c r="F214">
        <f>IFERROR(GETPIVOTDATA("value", financials_wide!$A$3, "adsh", $E214, "tag", "Assets"),"")</f>
        <v>6684138000</v>
      </c>
      <c r="G214">
        <f>IFERROR(GETPIVOTDATA("value", financials_wide!$A$3, "adsh", $E214, "tag", "EarningsPerShareBasic"),"")</f>
        <v>5.44</v>
      </c>
      <c r="H214">
        <f>IFERROR(IFERROR(GETPIVOTDATA("value", financials_wide!$A$3, "adsh", $E214, "tag", "InterestAndDividendIncomeOperating"), GETPIVOTDATA("value", financials_wide!$A$3, "adsh", $E214, "tag", "InterestIncomeOperating")),"")</f>
        <v>345719000</v>
      </c>
      <c r="I214">
        <f>IFERROR(GETPIVOTDATA("value", financials_wide!$A$3, "adsh", $E214, "tag", "Liabilities"),"")</f>
        <v>5828066000</v>
      </c>
      <c r="J214">
        <f t="shared" si="14"/>
        <v>856072000</v>
      </c>
      <c r="K214">
        <f>IFERROR(GETPIVOTDATA("value", financials_wide!$A$3, "adsh", $E214, "tag", "NetIncomeLoss"),"")</f>
        <v>98058000</v>
      </c>
      <c r="L214">
        <f>IFERROR(GETPIVOTDATA("value", financials_wide!$A$3, "adsh", $E214, "tag", "StockholdersEquity"),"")</f>
        <v>856072000</v>
      </c>
      <c r="M214">
        <f t="shared" si="15"/>
        <v>7.8079156893345418</v>
      </c>
      <c r="N214" s="3">
        <f t="shared" si="16"/>
        <v>1.4670253666216946E-2</v>
      </c>
      <c r="O214" t="str">
        <f t="shared" si="17"/>
        <v>Mid</v>
      </c>
    </row>
    <row r="215" spans="1:15" x14ac:dyDescent="0.25">
      <c r="A215">
        <v>214</v>
      </c>
      <c r="B215">
        <v>6021</v>
      </c>
      <c r="C215" t="str">
        <v>NBT BANCORP INC</v>
      </c>
      <c r="D215">
        <v>790359</v>
      </c>
      <c r="E215" t="str">
        <v>0001140361-26-007179</v>
      </c>
      <c r="F215">
        <f>IFERROR(GETPIVOTDATA("value", financials_wide!$A$3, "adsh", $E215, "tag", "Assets"),"")</f>
        <v>15995121000</v>
      </c>
      <c r="G215">
        <f>IFERROR(GETPIVOTDATA("value", financials_wide!$A$3, "adsh", $E215, "tag", "EarningsPerShareBasic"),"")</f>
        <v>3.34</v>
      </c>
      <c r="H215">
        <f>IFERROR(IFERROR(GETPIVOTDATA("value", financials_wide!$A$3, "adsh", $E215, "tag", "InterestAndDividendIncomeOperating"), GETPIVOTDATA("value", financials_wide!$A$3, "adsh", $E215, "tag", "InterestIncomeOperating")),"")</f>
        <v>710992000</v>
      </c>
      <c r="I215">
        <f>IFERROR(GETPIVOTDATA("value", financials_wide!$A$3, "adsh", $E215, "tag", "Liabilities"),"")</f>
        <v>14098905000</v>
      </c>
      <c r="J215">
        <f t="shared" si="14"/>
        <v>1896216000</v>
      </c>
      <c r="K215">
        <f>IFERROR(GETPIVOTDATA("value", financials_wide!$A$3, "adsh", $E215, "tag", "NetIncomeLoss"),"")</f>
        <v>169235000</v>
      </c>
      <c r="L215">
        <f>IFERROR(GETPIVOTDATA("value", financials_wide!$A$3, "adsh", $E215, "tag", "StockholdersEquity"),"")</f>
        <v>1896216000</v>
      </c>
      <c r="M215">
        <f t="shared" si="15"/>
        <v>8.435284271412117</v>
      </c>
      <c r="N215" s="3">
        <f t="shared" si="16"/>
        <v>1.0580413864952945E-2</v>
      </c>
      <c r="O215" t="str">
        <f t="shared" si="17"/>
        <v>Mid</v>
      </c>
    </row>
    <row r="216" spans="1:15" x14ac:dyDescent="0.25">
      <c r="A216">
        <v>215</v>
      </c>
      <c r="B216">
        <v>6022</v>
      </c>
      <c r="C216" t="str">
        <v>WEST BANCORPORATION INC</v>
      </c>
      <c r="D216">
        <v>1166928</v>
      </c>
      <c r="E216" t="str">
        <v>0001166928-26-000010</v>
      </c>
      <c r="F216">
        <f>IFERROR(GETPIVOTDATA("value", financials_wide!$A$3, "adsh", $E216, "tag", "Assets"),"")</f>
        <v>4142244000</v>
      </c>
      <c r="G216">
        <f>IFERROR(GETPIVOTDATA("value", financials_wide!$A$3, "adsh", $E216, "tag", "EarningsPerShareBasic"),"")</f>
        <v>1.92</v>
      </c>
      <c r="H216">
        <f>IFERROR(IFERROR(GETPIVOTDATA("value", financials_wide!$A$3, "adsh", $E216, "tag", "InterestAndDividendIncomeOperating"), GETPIVOTDATA("value", financials_wide!$A$3, "adsh", $E216, "tag", "InterestIncomeOperating")),"")</f>
        <v>192225000</v>
      </c>
      <c r="I216">
        <f>IFERROR(GETPIVOTDATA("value", financials_wide!$A$3, "adsh", $E216, "tag", "Liabilities"),"")</f>
        <v>3876259000</v>
      </c>
      <c r="J216">
        <f t="shared" si="14"/>
        <v>265985000</v>
      </c>
      <c r="K216">
        <f>IFERROR(GETPIVOTDATA("value", financials_wide!$A$3, "adsh", $E216, "tag", "NetIncomeLoss"),"")</f>
        <v>32560000</v>
      </c>
      <c r="L216">
        <f>IFERROR(GETPIVOTDATA("value", financials_wide!$A$3, "adsh", $E216, "tag", "StockholdersEquity"),"")</f>
        <v>265985000</v>
      </c>
      <c r="M216">
        <f t="shared" si="15"/>
        <v>15.573224053988007</v>
      </c>
      <c r="N216" s="3">
        <f t="shared" si="16"/>
        <v>7.8604736949344362E-3</v>
      </c>
      <c r="O216" t="str">
        <f t="shared" si="17"/>
        <v>Mid</v>
      </c>
    </row>
    <row r="217" spans="1:15" x14ac:dyDescent="0.25">
      <c r="A217">
        <v>216</v>
      </c>
      <c r="B217">
        <v>6022</v>
      </c>
      <c r="C217" t="str">
        <v>SERVISFIRST BANCSHARES, INC.</v>
      </c>
      <c r="D217">
        <v>1430723</v>
      </c>
      <c r="E217" t="str">
        <v>0001171843-26-001150</v>
      </c>
      <c r="F217">
        <f>IFERROR(GETPIVOTDATA("value", financials_wide!$A$3, "adsh", $E217, "tag", "Assets"),"")</f>
        <v>17727190000</v>
      </c>
      <c r="G217">
        <f>IFERROR(GETPIVOTDATA("value", financials_wide!$A$3, "adsh", $E217, "tag", "EarningsPerShareBasic"),"")</f>
        <v>5.0599999999999996</v>
      </c>
      <c r="H217">
        <f>IFERROR(IFERROR(GETPIVOTDATA("value", financials_wide!$A$3, "adsh", $E217, "tag", "InterestAndDividendIncomeOperating"), GETPIVOTDATA("value", financials_wide!$A$3, "adsh", $E217, "tag", "InterestIncomeOperating")),"")</f>
        <v>990427000</v>
      </c>
      <c r="I217">
        <f>IFERROR(GETPIVOTDATA("value", financials_wide!$A$3, "adsh", $E217, "tag", "Liabilities"),"")</f>
        <v>15876843000</v>
      </c>
      <c r="J217">
        <f t="shared" si="14"/>
        <v>1850347000</v>
      </c>
      <c r="K217">
        <f>IFERROR(GETPIVOTDATA("value", financials_wide!$A$3, "adsh", $E217, "tag", "NetIncomeLoss"),"")</f>
        <v>276603000</v>
      </c>
      <c r="L217">
        <f>IFERROR(GETPIVOTDATA("value", financials_wide!$A$3, "adsh", $E217, "tag", "StockholdersEquity"),"")</f>
        <v>1849847000</v>
      </c>
      <c r="M217">
        <f t="shared" si="15"/>
        <v>9.5830574096127954</v>
      </c>
      <c r="N217" s="3">
        <f t="shared" si="16"/>
        <v>1.5603318969334678E-2</v>
      </c>
      <c r="O217" t="str">
        <f t="shared" si="17"/>
        <v>Mid</v>
      </c>
    </row>
    <row r="218" spans="1:15" x14ac:dyDescent="0.25">
      <c r="A218">
        <v>217</v>
      </c>
      <c r="B218">
        <v>6021</v>
      </c>
      <c r="C218" t="str">
        <v>WESTAMERICA BANCORPORATION</v>
      </c>
      <c r="D218">
        <v>311094</v>
      </c>
      <c r="E218" t="str">
        <v>0001171843-26-001195</v>
      </c>
      <c r="F218">
        <f>IFERROR(GETPIVOTDATA("value", financials_wide!$A$3, "adsh", $E218, "tag", "Assets"),"")</f>
        <v>5960180000</v>
      </c>
      <c r="G218">
        <f>IFERROR(GETPIVOTDATA("value", financials_wide!$A$3, "adsh", $E218, "tag", "EarningsPerShareBasic"),"")</f>
        <v>4.5199999999999996</v>
      </c>
      <c r="H218">
        <f>IFERROR(IFERROR(GETPIVOTDATA("value", financials_wide!$A$3, "adsh", $E218, "tag", "InterestAndDividendIncomeOperating"), GETPIVOTDATA("value", financials_wide!$A$3, "adsh", $E218, "tag", "InterestIncomeOperating")),"")</f>
        <v>230980000</v>
      </c>
      <c r="I218">
        <f>IFERROR(GETPIVOTDATA("value", financials_wide!$A$3, "adsh", $E218, "tag", "Liabilities"),"")</f>
        <v>5026671000</v>
      </c>
      <c r="J218">
        <f t="shared" si="14"/>
        <v>933509000</v>
      </c>
      <c r="K218">
        <f>IFERROR(GETPIVOTDATA("value", financials_wide!$A$3, "adsh", $E218, "tag", "NetIncomeLoss"),"")</f>
        <v>116173000</v>
      </c>
      <c r="L218">
        <f>IFERROR(GETPIVOTDATA("value", financials_wide!$A$3, "adsh", $E218, "tag", "StockholdersEquity"),"")</f>
        <v>933509000</v>
      </c>
      <c r="M218">
        <f t="shared" si="15"/>
        <v>6.38470545008136</v>
      </c>
      <c r="N218" s="3">
        <f t="shared" si="16"/>
        <v>1.9491525423728815E-2</v>
      </c>
      <c r="O218" t="str">
        <f t="shared" si="17"/>
        <v>Mid</v>
      </c>
    </row>
    <row r="219" spans="1:15" x14ac:dyDescent="0.25">
      <c r="A219">
        <v>218</v>
      </c>
      <c r="B219">
        <v>6021</v>
      </c>
      <c r="C219" t="str">
        <v>NICOLET BANKSHARES INC</v>
      </c>
      <c r="D219">
        <v>1174850</v>
      </c>
      <c r="E219" t="str">
        <v>0001174850-26-000077</v>
      </c>
      <c r="F219">
        <f>IFERROR(GETPIVOTDATA("value", financials_wide!$A$3, "adsh", $E219, "tag", "Assets"),"")</f>
        <v>9185107000</v>
      </c>
      <c r="G219">
        <f>IFERROR(GETPIVOTDATA("value", financials_wide!$A$3, "adsh", $E219, "tag", "EarningsPerShareBasic"),"")</f>
        <v>10.06</v>
      </c>
      <c r="H219">
        <f>IFERROR(IFERROR(GETPIVOTDATA("value", financials_wide!$A$3, "adsh", $E219, "tag", "InterestAndDividendIncomeOperating"), GETPIVOTDATA("value", financials_wide!$A$3, "adsh", $E219, "tag", "InterestIncomeOperating")),"")</f>
        <v>470950000</v>
      </c>
      <c r="I219">
        <f>IFERROR(GETPIVOTDATA("value", financials_wide!$A$3, "adsh", $E219, "tag", "Liabilities"),"")</f>
        <v>7927445000</v>
      </c>
      <c r="J219">
        <f t="shared" si="14"/>
        <v>1257662000</v>
      </c>
      <c r="K219">
        <f>IFERROR(GETPIVOTDATA("value", financials_wide!$A$3, "adsh", $E219, "tag", "NetIncomeLoss"),"")</f>
        <v>150686000</v>
      </c>
      <c r="L219">
        <f>IFERROR(GETPIVOTDATA("value", financials_wide!$A$3, "adsh", $E219, "tag", "StockholdersEquity"),"")</f>
        <v>1257662000</v>
      </c>
      <c r="M219">
        <f t="shared" si="15"/>
        <v>7.3033191747862301</v>
      </c>
      <c r="N219" s="3">
        <f t="shared" si="16"/>
        <v>1.6405470290112027E-2</v>
      </c>
      <c r="O219" t="str">
        <f t="shared" si="17"/>
        <v>Mid</v>
      </c>
    </row>
    <row r="220" spans="1:15" x14ac:dyDescent="0.25">
      <c r="A220">
        <v>219</v>
      </c>
      <c r="B220">
        <v>6021</v>
      </c>
      <c r="C220" t="str">
        <v>TRUSTMARK CORP</v>
      </c>
      <c r="D220">
        <v>36146</v>
      </c>
      <c r="E220" t="str">
        <v>0001193125-26-064009</v>
      </c>
      <c r="F220">
        <f>IFERROR(GETPIVOTDATA("value", financials_wide!$A$3, "adsh", $E220, "tag", "Assets"),"")</f>
        <v>18925211000</v>
      </c>
      <c r="G220">
        <f>IFERROR(GETPIVOTDATA("value", financials_wide!$A$3, "adsh", $E220, "tag", "EarningsPerShareBasic"),"")</f>
        <v>3.72</v>
      </c>
      <c r="H220">
        <f>IFERROR(IFERROR(GETPIVOTDATA("value", financials_wide!$A$3, "adsh", $E220, "tag", "InterestAndDividendIncomeOperating"), GETPIVOTDATA("value", financials_wide!$A$3, "adsh", $E220, "tag", "InterestIncomeOperating")),"")</f>
        <v>948622000</v>
      </c>
      <c r="I220">
        <f>IFERROR(GETPIVOTDATA("value", financials_wide!$A$3, "adsh", $E220, "tag", "Liabilities"),"")</f>
        <v>16803534000</v>
      </c>
      <c r="J220">
        <f t="shared" si="14"/>
        <v>2121677000</v>
      </c>
      <c r="K220">
        <f>IFERROR(GETPIVOTDATA("value", financials_wide!$A$3, "adsh", $E220, "tag", "NetIncomeLoss"),"")</f>
        <v>224135000</v>
      </c>
      <c r="L220">
        <f>IFERROR(GETPIVOTDATA("value", financials_wide!$A$3, "adsh", $E220, "tag", "StockholdersEquity"),"")</f>
        <v>2121677000</v>
      </c>
      <c r="M220">
        <f t="shared" si="15"/>
        <v>8.91993031927103</v>
      </c>
      <c r="N220" s="3">
        <f t="shared" si="16"/>
        <v>1.1843196886946201E-2</v>
      </c>
      <c r="O220" t="str">
        <f t="shared" si="17"/>
        <v>Mid</v>
      </c>
    </row>
    <row r="221" spans="1:15" x14ac:dyDescent="0.25">
      <c r="A221">
        <v>220</v>
      </c>
      <c r="B221">
        <v>6022</v>
      </c>
      <c r="C221" t="str">
        <v>FIRST BUSINESS FINANCIAL SERVICES, INC.</v>
      </c>
      <c r="D221">
        <v>1521951</v>
      </c>
      <c r="E221" t="str">
        <v>0001193125-26-071523</v>
      </c>
      <c r="F221">
        <f>IFERROR(GETPIVOTDATA("value", financials_wide!$A$3, "adsh", $E221, "tag", "Assets"),"")</f>
        <v>4081887000</v>
      </c>
      <c r="G221">
        <f>IFERROR(GETPIVOTDATA("value", financials_wide!$A$3, "adsh", $E221, "tag", "EarningsPerShareBasic"),"")</f>
        <v>5.94</v>
      </c>
      <c r="H221">
        <f>IFERROR(IFERROR(GETPIVOTDATA("value", financials_wide!$A$3, "adsh", $E221, "tag", "InterestAndDividendIncomeOperating"), GETPIVOTDATA("value", financials_wide!$A$3, "adsh", $E221, "tag", "InterestIncomeOperating")),"")</f>
        <v>247310000</v>
      </c>
      <c r="I221">
        <f>IFERROR(GETPIVOTDATA("value", financials_wide!$A$3, "adsh", $E221, "tag", "Liabilities"),"")</f>
        <v>3710302000</v>
      </c>
      <c r="J221">
        <f t="shared" si="14"/>
        <v>371585000</v>
      </c>
      <c r="K221">
        <f>IFERROR(GETPIVOTDATA("value", financials_wide!$A$3, "adsh", $E221, "tag", "NetIncomeLoss"),"")</f>
        <v>50319000</v>
      </c>
      <c r="L221">
        <f>IFERROR(GETPIVOTDATA("value", financials_wide!$A$3, "adsh", $E221, "tag", "StockholdersEquity"),"")</f>
        <v>371585000</v>
      </c>
      <c r="M221">
        <f t="shared" si="15"/>
        <v>10.985069365017425</v>
      </c>
      <c r="N221" s="3">
        <f t="shared" si="16"/>
        <v>1.232738681889038E-2</v>
      </c>
      <c r="O221" t="str">
        <f t="shared" si="17"/>
        <v>Mid</v>
      </c>
    </row>
    <row r="222" spans="1:15" x14ac:dyDescent="0.25">
      <c r="A222">
        <v>221</v>
      </c>
      <c r="B222">
        <v>6022</v>
      </c>
      <c r="C222" t="str">
        <v>FIRST FINANCIAL BANKSHARES INC</v>
      </c>
      <c r="D222">
        <v>36029</v>
      </c>
      <c r="E222" t="str">
        <v>0001193125-26-071549</v>
      </c>
      <c r="F222">
        <f>IFERROR(GETPIVOTDATA("value", financials_wide!$A$3, "adsh", $E222, "tag", "Assets"),"")</f>
        <v>15446476000</v>
      </c>
      <c r="G222">
        <f>IFERROR(GETPIVOTDATA("value", financials_wide!$A$3, "adsh", $E222, "tag", "EarningsPerShareBasic"),"")</f>
        <v>1.77</v>
      </c>
      <c r="H222">
        <f>IFERROR(IFERROR(GETPIVOTDATA("value", financials_wide!$A$3, "adsh", $E222, "tag", "InterestAndDividendIncomeOperating"), GETPIVOTDATA("value", financials_wide!$A$3, "adsh", $E222, "tag", "InterestIncomeOperating")),"")</f>
        <v>702480000</v>
      </c>
      <c r="I222">
        <f>IFERROR(GETPIVOTDATA("value", financials_wide!$A$3, "adsh", $E222, "tag", "Liabilities"),"")</f>
        <v>13529159000</v>
      </c>
      <c r="J222">
        <f t="shared" si="14"/>
        <v>1917317000</v>
      </c>
      <c r="K222">
        <f>IFERROR(GETPIVOTDATA("value", financials_wide!$A$3, "adsh", $E222, "tag", "NetIncomeLoss"),"")</f>
        <v>253579000</v>
      </c>
      <c r="L222">
        <f>IFERROR(GETPIVOTDATA("value", financials_wide!$A$3, "adsh", $E222, "tag", "StockholdersEquity"),"")</f>
        <v>1917317000</v>
      </c>
      <c r="M222">
        <f t="shared" si="15"/>
        <v>8.0562974197798276</v>
      </c>
      <c r="N222" s="3">
        <f t="shared" si="16"/>
        <v>1.6416624736930289E-2</v>
      </c>
      <c r="O222" t="str">
        <f t="shared" si="17"/>
        <v>Mid</v>
      </c>
    </row>
    <row r="223" spans="1:15" x14ac:dyDescent="0.25">
      <c r="A223">
        <v>222</v>
      </c>
      <c r="B223">
        <v>6021</v>
      </c>
      <c r="C223" t="str">
        <v>BANCFIRST CORP /OK/</v>
      </c>
      <c r="D223">
        <v>760498</v>
      </c>
      <c r="E223" t="str">
        <v>0001193125-26-075954</v>
      </c>
      <c r="F223">
        <f>IFERROR(GETPIVOTDATA("value", financials_wide!$A$3, "adsh", $E223, "tag", "Assets"),"")</f>
        <v>14838893000</v>
      </c>
      <c r="G223">
        <f>IFERROR(GETPIVOTDATA("value", financials_wide!$A$3, "adsh", $E223, "tag", "EarningsPerShareBasic"),"")</f>
        <v>7.22</v>
      </c>
      <c r="H223">
        <f>IFERROR(IFERROR(GETPIVOTDATA("value", financials_wide!$A$3, "adsh", $E223, "tag", "InterestAndDividendIncomeOperating"), GETPIVOTDATA("value", financials_wide!$A$3, "adsh", $E223, "tag", "InterestIncomeOperating")),"")</f>
        <v>760254000</v>
      </c>
      <c r="I223">
        <f>IFERROR(GETPIVOTDATA("value", financials_wide!$A$3, "adsh", $E223, "tag", "Liabilities"),"")</f>
        <v>12984768000</v>
      </c>
      <c r="J223">
        <f t="shared" si="14"/>
        <v>1854125000</v>
      </c>
      <c r="K223">
        <f>IFERROR(GETPIVOTDATA("value", financials_wide!$A$3, "adsh", $E223, "tag", "NetIncomeLoss"),"")</f>
        <v>240610000</v>
      </c>
      <c r="L223">
        <f>IFERROR(GETPIVOTDATA("value", financials_wide!$A$3, "adsh", $E223, "tag", "StockholdersEquity"),"")</f>
        <v>1854125000</v>
      </c>
      <c r="M223">
        <f t="shared" si="15"/>
        <v>8.0031783186139016</v>
      </c>
      <c r="N223" s="3">
        <f t="shared" si="16"/>
        <v>1.6214821415586729E-2</v>
      </c>
      <c r="O223" t="str">
        <f t="shared" si="17"/>
        <v>Mid</v>
      </c>
    </row>
    <row r="224" spans="1:15" x14ac:dyDescent="0.25">
      <c r="A224">
        <v>223</v>
      </c>
      <c r="B224">
        <v>6021</v>
      </c>
      <c r="C224" t="str">
        <v>UMB FINANCIAL CORP</v>
      </c>
      <c r="D224">
        <v>101382</v>
      </c>
      <c r="E224" t="str">
        <v>0001193125-26-076496</v>
      </c>
      <c r="F224">
        <f>IFERROR(GETPIVOTDATA("value", financials_wide!$A$3, "adsh", $E224, "tag", "Assets"),"")</f>
        <v>73094090000</v>
      </c>
      <c r="G224">
        <f>IFERROR(GETPIVOTDATA("value", financials_wide!$A$3, "adsh", $E224, "tag", "EarningsPerShareBasic"),"")</f>
        <v>9.35</v>
      </c>
      <c r="H224">
        <f>IFERROR(IFERROR(GETPIVOTDATA("value", financials_wide!$A$3, "adsh", $E224, "tag", "InterestAndDividendIncomeOperating"), GETPIVOTDATA("value", financials_wide!$A$3, "adsh", $E224, "tag", "InterestIncomeOperating")),"")</f>
        <v>3354280000</v>
      </c>
      <c r="I224">
        <f>IFERROR(GETPIVOTDATA("value", financials_wide!$A$3, "adsh", $E224, "tag", "Liabilities"),"")</f>
        <v>65400522000</v>
      </c>
      <c r="J224">
        <f t="shared" si="14"/>
        <v>7693568000</v>
      </c>
      <c r="K224">
        <f>IFERROR(GETPIVOTDATA("value", financials_wide!$A$3, "adsh", $E224, "tag", "NetIncomeLoss"),"")</f>
        <v>702398000</v>
      </c>
      <c r="L224">
        <f>IFERROR(GETPIVOTDATA("value", financials_wide!$A$3, "adsh", $E224, "tag", "StockholdersEquity"),"")</f>
        <v>7693568000</v>
      </c>
      <c r="M224">
        <f t="shared" si="15"/>
        <v>9.5006751093900768</v>
      </c>
      <c r="N224" s="3">
        <f t="shared" si="16"/>
        <v>9.6095046808845966E-3</v>
      </c>
      <c r="O224" t="str">
        <f t="shared" si="17"/>
        <v>Large</v>
      </c>
    </row>
    <row r="225" spans="1:15" x14ac:dyDescent="0.25">
      <c r="A225">
        <v>224</v>
      </c>
      <c r="B225">
        <v>6022</v>
      </c>
      <c r="C225" t="str">
        <v>PROSPERITY BANCSHARES INC</v>
      </c>
      <c r="D225">
        <v>1068851</v>
      </c>
      <c r="E225" t="str">
        <v>0001193125-26-077437</v>
      </c>
      <c r="F225">
        <f>IFERROR(GETPIVOTDATA("value", financials_wide!$A$3, "adsh", $E225, "tag", "Assets"),"")</f>
        <v>38463425000</v>
      </c>
      <c r="G225">
        <f>IFERROR(GETPIVOTDATA("value", financials_wide!$A$3, "adsh", $E225, "tag", "EarningsPerShareBasic"),"")</f>
        <v>5.72</v>
      </c>
      <c r="H225">
        <f>IFERROR(IFERROR(GETPIVOTDATA("value", financials_wide!$A$3, "adsh", $E225, "tag", "InterestAndDividendIncomeOperating"), GETPIVOTDATA("value", financials_wide!$A$3, "adsh", $E225, "tag", "InterestIncomeOperating")),"")</f>
        <v>1570323000</v>
      </c>
      <c r="I225">
        <f>IFERROR(GETPIVOTDATA("value", financials_wide!$A$3, "adsh", $E225, "tag", "Liabilities"),"")</f>
        <v>30847285000</v>
      </c>
      <c r="J225">
        <f t="shared" si="14"/>
        <v>7616140000</v>
      </c>
      <c r="K225">
        <f>IFERROR(GETPIVOTDATA("value", financials_wide!$A$3, "adsh", $E225, "tag", "NetIncomeLoss"),"")</f>
        <v>542843000</v>
      </c>
      <c r="L225">
        <f>IFERROR(GETPIVOTDATA("value", financials_wide!$A$3, "adsh", $E225, "tag", "StockholdersEquity"),"")</f>
        <v>7616140000</v>
      </c>
      <c r="M225">
        <f t="shared" si="15"/>
        <v>5.0502518336059996</v>
      </c>
      <c r="N225" s="3">
        <f t="shared" si="16"/>
        <v>1.4113225746277144E-2</v>
      </c>
      <c r="O225" t="str">
        <f t="shared" si="17"/>
        <v>Large</v>
      </c>
    </row>
    <row r="226" spans="1:15" x14ac:dyDescent="0.25">
      <c r="A226">
        <v>225</v>
      </c>
      <c r="B226">
        <v>6022</v>
      </c>
      <c r="C226" t="str">
        <v>HANCOCK WHITNEY CORP</v>
      </c>
      <c r="D226">
        <v>750577</v>
      </c>
      <c r="E226" t="str">
        <v>0001193125-26-077903</v>
      </c>
      <c r="F226">
        <f>IFERROR(GETPIVOTDATA("value", financials_wide!$A$3, "adsh", $E226, "tag", "Assets"),"")</f>
        <v>35472762000</v>
      </c>
      <c r="G226">
        <f>IFERROR(GETPIVOTDATA("value", financials_wide!$A$3, "adsh", $E226, "tag", "EarningsPerShareBasic"),"")</f>
        <v>5.7</v>
      </c>
      <c r="H226">
        <f>IFERROR(IFERROR(GETPIVOTDATA("value", financials_wide!$A$3, "adsh", $E226, "tag", "InterestAndDividendIncomeOperating"), GETPIVOTDATA("value", financials_wide!$A$3, "adsh", $E226, "tag", "InterestIncomeOperating")),"")</f>
        <v>1614620000</v>
      </c>
      <c r="I226">
        <f>IFERROR(GETPIVOTDATA("value", financials_wide!$A$3, "adsh", $E226, "tag", "Liabilities"),"")</f>
        <v>31012645000</v>
      </c>
      <c r="J226">
        <f t="shared" si="14"/>
        <v>4460117000</v>
      </c>
      <c r="K226">
        <f>IFERROR(GETPIVOTDATA("value", financials_wide!$A$3, "adsh", $E226, "tag", "NetIncomeLoss"),"")</f>
        <v>486073000</v>
      </c>
      <c r="L226">
        <f>IFERROR(GETPIVOTDATA("value", financials_wide!$A$3, "adsh", $E226, "tag", "StockholdersEquity"),"")</f>
        <v>4460117000</v>
      </c>
      <c r="M226">
        <f t="shared" si="15"/>
        <v>7.9533254396689594</v>
      </c>
      <c r="N226" s="3">
        <f t="shared" si="16"/>
        <v>1.3702710829227225E-2</v>
      </c>
      <c r="O226" t="str">
        <f t="shared" si="17"/>
        <v>Large</v>
      </c>
    </row>
    <row r="227" spans="1:15" x14ac:dyDescent="0.25">
      <c r="A227">
        <v>226</v>
      </c>
      <c r="B227">
        <v>6022</v>
      </c>
      <c r="C227" t="str">
        <v>FIRST MID BANCSHARES, INC.</v>
      </c>
      <c r="D227">
        <v>700565</v>
      </c>
      <c r="E227" t="str">
        <v>0001193125-26-080847</v>
      </c>
      <c r="F227">
        <f>IFERROR(GETPIVOTDATA("value", financials_wide!$A$3, "adsh", $E227, "tag", "Assets"),"")</f>
        <v>7966658000</v>
      </c>
      <c r="G227">
        <f>IFERROR(GETPIVOTDATA("value", financials_wide!$A$3, "adsh", $E227, "tag", "EarningsPerShareBasic"),"")</f>
        <v>3.84</v>
      </c>
      <c r="H227">
        <f>IFERROR(IFERROR(GETPIVOTDATA("value", financials_wide!$A$3, "adsh", $E227, "tag", "InterestAndDividendIncomeOperating"), GETPIVOTDATA("value", financials_wide!$A$3, "adsh", $E227, "tag", "InterestIncomeOperating")),"")</f>
        <v>372990000</v>
      </c>
      <c r="I227">
        <f>IFERROR(GETPIVOTDATA("value", financials_wide!$A$3, "adsh", $E227, "tag", "Liabilities"),"")</f>
        <v>7007966000</v>
      </c>
      <c r="J227">
        <f t="shared" si="14"/>
        <v>958692000</v>
      </c>
      <c r="K227">
        <f>IFERROR(GETPIVOTDATA("value", financials_wide!$A$3, "adsh", $E227, "tag", "NetIncomeLoss"),"")</f>
        <v>91749000</v>
      </c>
      <c r="L227">
        <f>IFERROR(GETPIVOTDATA("value", financials_wide!$A$3, "adsh", $E227, "tag", "StockholdersEquity"),"")</f>
        <v>958692000</v>
      </c>
      <c r="M227">
        <f t="shared" si="15"/>
        <v>8.3099243552673858</v>
      </c>
      <c r="N227" s="3">
        <f t="shared" si="16"/>
        <v>1.1516623407205381E-2</v>
      </c>
      <c r="O227" t="str">
        <f t="shared" si="17"/>
        <v>Mid</v>
      </c>
    </row>
    <row r="228" spans="1:15" x14ac:dyDescent="0.25">
      <c r="A228">
        <v>227</v>
      </c>
      <c r="B228">
        <v>6022</v>
      </c>
      <c r="C228" t="str">
        <v>UNITED BANKSHARES INC/WV</v>
      </c>
      <c r="D228">
        <v>729986</v>
      </c>
      <c r="E228" t="str">
        <v>0001193125-26-081470</v>
      </c>
      <c r="F228">
        <f>IFERROR(GETPIVOTDATA("value", financials_wide!$A$3, "adsh", $E228, "tag", "Assets"),"")</f>
        <v>33660281000</v>
      </c>
      <c r="G228">
        <f>IFERROR(GETPIVOTDATA("value", financials_wide!$A$3, "adsh", $E228, "tag", "EarningsPerShareBasic"),"")</f>
        <v>3.28</v>
      </c>
      <c r="H228">
        <f>IFERROR(IFERROR(GETPIVOTDATA("value", financials_wide!$A$3, "adsh", $E228, "tag", "InterestAndDividendIncomeOperating"), GETPIVOTDATA("value", financials_wide!$A$3, "adsh", $E228, "tag", "InterestIncomeOperating")),"")</f>
        <v>1685853000</v>
      </c>
      <c r="I228">
        <f>IFERROR(GETPIVOTDATA("value", financials_wide!$A$3, "adsh", $E228, "tag", "Liabilities"),"")</f>
        <v>28164298000</v>
      </c>
      <c r="J228">
        <f t="shared" si="14"/>
        <v>5495983000</v>
      </c>
      <c r="K228">
        <f>IFERROR(GETPIVOTDATA("value", financials_wide!$A$3, "adsh", $E228, "tag", "NetIncomeLoss"),"")</f>
        <v>464603000</v>
      </c>
      <c r="L228">
        <f>IFERROR(GETPIVOTDATA("value", financials_wide!$A$3, "adsh", $E228, "tag", "StockholdersEquity"),"")</f>
        <v>5495983000</v>
      </c>
      <c r="M228">
        <f t="shared" si="15"/>
        <v>6.1245242206899109</v>
      </c>
      <c r="N228" s="3">
        <f t="shared" si="16"/>
        <v>1.3802707113467056E-2</v>
      </c>
      <c r="O228" t="str">
        <f t="shared" si="17"/>
        <v>Large</v>
      </c>
    </row>
    <row r="229" spans="1:15" x14ac:dyDescent="0.25">
      <c r="A229">
        <v>228</v>
      </c>
      <c r="B229">
        <v>6021</v>
      </c>
      <c r="C229" t="str">
        <v>HANMI FINANCIAL CORP</v>
      </c>
      <c r="D229">
        <v>1109242</v>
      </c>
      <c r="E229" t="str">
        <v>0001193125-26-082425</v>
      </c>
      <c r="F229">
        <f>IFERROR(GETPIVOTDATA("value", financials_wide!$A$3, "adsh", $E229, "tag", "Assets"),"")</f>
        <v>7869185000</v>
      </c>
      <c r="G229">
        <f>IFERROR(GETPIVOTDATA("value", financials_wide!$A$3, "adsh", $E229, "tag", "EarningsPerShareBasic"),"")</f>
        <v>2.5299999999999998</v>
      </c>
      <c r="H229">
        <f>IFERROR(IFERROR(GETPIVOTDATA("value", financials_wide!$A$3, "adsh", $E229, "tag", "InterestAndDividendIncomeOperating"), GETPIVOTDATA("value", financials_wide!$A$3, "adsh", $E229, "tag", "InterestIncomeOperating")),"")</f>
        <v>410928000</v>
      </c>
      <c r="I229">
        <f>IFERROR(GETPIVOTDATA("value", financials_wide!$A$3, "adsh", $E229, "tag", "Liabilities"),"")</f>
        <v>7072799000</v>
      </c>
      <c r="J229">
        <f t="shared" si="14"/>
        <v>796386000</v>
      </c>
      <c r="K229">
        <f>IFERROR(GETPIVOTDATA("value", financials_wide!$A$3, "adsh", $E229, "tag", "NetIncomeLoss"),"")</f>
        <v>76089000</v>
      </c>
      <c r="L229">
        <f>IFERROR(GETPIVOTDATA("value", financials_wide!$A$3, "adsh", $E229, "tag", "StockholdersEquity"),"")</f>
        <v>796386000</v>
      </c>
      <c r="M229">
        <f t="shared" si="15"/>
        <v>9.8811192060131638</v>
      </c>
      <c r="N229" s="3">
        <f t="shared" si="16"/>
        <v>9.6692351240948073E-3</v>
      </c>
      <c r="O229" t="str">
        <f t="shared" si="17"/>
        <v>Mid</v>
      </c>
    </row>
    <row r="230" spans="1:15" x14ac:dyDescent="0.25">
      <c r="A230">
        <v>229</v>
      </c>
      <c r="B230">
        <v>6021</v>
      </c>
      <c r="C230" t="str">
        <v>WILSON BANK HOLDING CO</v>
      </c>
      <c r="D230">
        <v>885275</v>
      </c>
      <c r="E230" t="str">
        <v>0001193125-26-082893</v>
      </c>
      <c r="F230">
        <f>IFERROR(GETPIVOTDATA("value", financials_wide!$A$3, "adsh", $E230, "tag", "Assets"),"")</f>
        <v>5878956000</v>
      </c>
      <c r="G230">
        <f>IFERROR(GETPIVOTDATA("value", financials_wide!$A$3, "adsh", $E230, "tag", "EarningsPerShareBasic"),"")</f>
        <v>6.28</v>
      </c>
      <c r="H230">
        <f>IFERROR(IFERROR(GETPIVOTDATA("value", financials_wide!$A$3, "adsh", $E230, "tag", "InterestAndDividendIncomeOperating"), GETPIVOTDATA("value", financials_wide!$A$3, "adsh", $E230, "tag", "InterestIncomeOperating")),"")</f>
        <v>326187000</v>
      </c>
      <c r="I230">
        <f>IFERROR(GETPIVOTDATA("value", financials_wide!$A$3, "adsh", $E230, "tag", "Liabilities"),"")</f>
        <v>5297271000</v>
      </c>
      <c r="J230">
        <f t="shared" si="14"/>
        <v>581685000</v>
      </c>
      <c r="K230">
        <f>IFERROR(GETPIVOTDATA("value", financials_wide!$A$3, "adsh", $E230, "tag", "NetIncomeLoss"),"")</f>
        <v>75699000</v>
      </c>
      <c r="L230">
        <f>IFERROR(GETPIVOTDATA("value", financials_wide!$A$3, "adsh", $E230, "tag", "StockholdersEquity"),"")</f>
        <v>0</v>
      </c>
      <c r="M230" t="e">
        <f t="shared" si="15"/>
        <v>#N/A</v>
      </c>
      <c r="N230" s="3">
        <f t="shared" si="16"/>
        <v>1.287626578596608E-2</v>
      </c>
      <c r="O230" t="str">
        <f t="shared" si="17"/>
        <v>Mid</v>
      </c>
    </row>
    <row r="231" spans="1:15" x14ac:dyDescent="0.25">
      <c r="A231">
        <v>230</v>
      </c>
      <c r="B231">
        <v>6022</v>
      </c>
      <c r="C231" t="str">
        <v>BYLINE BANCORP, INC.</v>
      </c>
      <c r="D231">
        <v>1702750</v>
      </c>
      <c r="E231" t="str">
        <v>0001193125-26-083194</v>
      </c>
      <c r="F231">
        <f>IFERROR(GETPIVOTDATA("value", financials_wide!$A$3, "adsh", $E231, "tag", "Assets"),"")</f>
        <v>9652676000</v>
      </c>
      <c r="G231">
        <f>IFERROR(GETPIVOTDATA("value", financials_wide!$A$3, "adsh", $E231, "tag", "EarningsPerShareBasic"),"")</f>
        <v>2.9</v>
      </c>
      <c r="H231">
        <f>IFERROR(IFERROR(GETPIVOTDATA("value", financials_wide!$A$3, "adsh", $E231, "tag", "InterestAndDividendIncomeOperating"), GETPIVOTDATA("value", financials_wide!$A$3, "adsh", $E231, "tag", "InterestIncomeOperating")),"")</f>
        <v>572220000</v>
      </c>
      <c r="I231">
        <f>IFERROR(GETPIVOTDATA("value", financials_wide!$A$3, "adsh", $E231, "tag", "Liabilities"),"")</f>
        <v>8384770000</v>
      </c>
      <c r="J231">
        <f t="shared" si="14"/>
        <v>1267906000</v>
      </c>
      <c r="K231">
        <f>IFERROR(GETPIVOTDATA("value", financials_wide!$A$3, "adsh", $E231, "tag", "NetIncomeLoss"),"")</f>
        <v>130051000</v>
      </c>
      <c r="L231">
        <f>IFERROR(GETPIVOTDATA("value", financials_wide!$A$3, "adsh", $E231, "tag", "StockholdersEquity"),"")</f>
        <v>1267906000</v>
      </c>
      <c r="M231">
        <f t="shared" si="15"/>
        <v>7.6130848816868131</v>
      </c>
      <c r="N231" s="3">
        <f t="shared" si="16"/>
        <v>1.3473051410821207E-2</v>
      </c>
      <c r="O231" t="str">
        <f t="shared" si="17"/>
        <v>Mid</v>
      </c>
    </row>
    <row r="232" spans="1:15" x14ac:dyDescent="0.25">
      <c r="A232">
        <v>231</v>
      </c>
      <c r="B232">
        <v>6022</v>
      </c>
      <c r="C232" t="str">
        <v>CVB FINANCIAL CORP</v>
      </c>
      <c r="D232">
        <v>354647</v>
      </c>
      <c r="E232" t="str">
        <v>0001193125-26-083221</v>
      </c>
      <c r="F232">
        <f>IFERROR(GETPIVOTDATA("value", financials_wide!$A$3, "adsh", $E232, "tag", "Assets"),"")</f>
        <v>15631054000</v>
      </c>
      <c r="G232">
        <f>IFERROR(GETPIVOTDATA("value", financials_wide!$A$3, "adsh", $E232, "tag", "EarningsPerShareBasic"),"")</f>
        <v>1.52</v>
      </c>
      <c r="H232">
        <f>IFERROR(IFERROR(GETPIVOTDATA("value", financials_wide!$A$3, "adsh", $E232, "tag", "InterestAndDividendIncomeOperating"), GETPIVOTDATA("value", financials_wide!$A$3, "adsh", $E232, "tag", "InterestIncomeOperating")),"")</f>
        <v>593301000</v>
      </c>
      <c r="I232">
        <f>IFERROR(GETPIVOTDATA("value", financials_wide!$A$3, "adsh", $E232, "tag", "Liabilities"),"")</f>
        <v>13335830000</v>
      </c>
      <c r="J232">
        <f t="shared" si="14"/>
        <v>2295224000</v>
      </c>
      <c r="K232">
        <f>IFERROR(GETPIVOTDATA("value", financials_wide!$A$3, "adsh", $E232, "tag", "NetIncomeLoss"),"")</f>
        <v>209298000</v>
      </c>
      <c r="L232">
        <f>IFERROR(GETPIVOTDATA("value", financials_wide!$A$3, "adsh", $E232, "tag", "StockholdersEquity"),"")</f>
        <v>2295224000</v>
      </c>
      <c r="M232">
        <f t="shared" si="15"/>
        <v>6.8102520712575334</v>
      </c>
      <c r="N232" s="3">
        <f t="shared" si="16"/>
        <v>1.338988400910137E-2</v>
      </c>
      <c r="O232" t="str">
        <f t="shared" si="17"/>
        <v>Mid</v>
      </c>
    </row>
    <row r="233" spans="1:15" x14ac:dyDescent="0.25">
      <c r="A233">
        <v>232</v>
      </c>
      <c r="B233">
        <v>6021</v>
      </c>
      <c r="C233" t="str">
        <v>WESBANCO INC</v>
      </c>
      <c r="D233">
        <v>203596</v>
      </c>
      <c r="E233" t="str">
        <v>0001193125-26-085463</v>
      </c>
      <c r="F233">
        <f>IFERROR(GETPIVOTDATA("value", financials_wide!$A$3, "adsh", $E233, "tag", "Assets"),"")</f>
        <v>27696333000</v>
      </c>
      <c r="G233">
        <f>IFERROR(GETPIVOTDATA("value", financials_wide!$A$3, "adsh", $E233, "tag", "EarningsPerShareBasic"),"")</f>
        <v>2.23</v>
      </c>
      <c r="H233">
        <f>IFERROR(IFERROR(GETPIVOTDATA("value", financials_wide!$A$3, "adsh", $E233, "tag", "InterestAndDividendIncomeOperating"), GETPIVOTDATA("value", financials_wide!$A$3, "adsh", $E233, "tag", "InterestIncomeOperating")),"")</f>
        <v>1271940000</v>
      </c>
      <c r="I233">
        <f>IFERROR(GETPIVOTDATA("value", financials_wide!$A$3, "adsh", $E233, "tag", "Liabilities"),"")</f>
        <v>23664420000</v>
      </c>
      <c r="J233">
        <f t="shared" si="14"/>
        <v>4031913000</v>
      </c>
      <c r="K233">
        <f>IFERROR(GETPIVOTDATA("value", financials_wide!$A$3, "adsh", $E233, "tag", "NetIncomeLoss"),"")</f>
        <v>223105000</v>
      </c>
      <c r="L233">
        <f>IFERROR(GETPIVOTDATA("value", financials_wide!$A$3, "adsh", $E233, "tag", "StockholdersEquity"),"")</f>
        <v>4031913000</v>
      </c>
      <c r="M233">
        <f t="shared" si="15"/>
        <v>6.8692784293708717</v>
      </c>
      <c r="N233" s="3">
        <f t="shared" si="16"/>
        <v>8.0553985251404937E-3</v>
      </c>
      <c r="O233" t="str">
        <f t="shared" si="17"/>
        <v>Large</v>
      </c>
    </row>
    <row r="234" spans="1:15" x14ac:dyDescent="0.25">
      <c r="A234">
        <v>233</v>
      </c>
      <c r="B234">
        <v>6021</v>
      </c>
      <c r="C234" t="str">
        <v>SOUTHERN FIRST BANCSHARES INC</v>
      </c>
      <c r="D234">
        <v>1090009</v>
      </c>
      <c r="E234" t="str">
        <v>0001206774-26-000084</v>
      </c>
      <c r="F234">
        <f>IFERROR(GETPIVOTDATA("value", financials_wide!$A$3, "adsh", $E234, "tag", "Assets"),"")</f>
        <v>4403494000</v>
      </c>
      <c r="G234">
        <f>IFERROR(GETPIVOTDATA("value", financials_wide!$A$3, "adsh", $E234, "tag", "EarningsPerShareBasic"),"")</f>
        <v>3.75</v>
      </c>
      <c r="H234">
        <f>IFERROR(IFERROR(GETPIVOTDATA("value", financials_wide!$A$3, "adsh", $E234, "tag", "InterestAndDividendIncomeOperating"), GETPIVOTDATA("value", financials_wide!$A$3, "adsh", $E234, "tag", "InterestIncomeOperating")),"")</f>
        <v>211481000</v>
      </c>
      <c r="I234">
        <f>IFERROR(GETPIVOTDATA("value", financials_wide!$A$3, "adsh", $E234, "tag", "Liabilities"),"")</f>
        <v>4034837000</v>
      </c>
      <c r="J234">
        <f t="shared" si="14"/>
        <v>368657000</v>
      </c>
      <c r="K234">
        <f>IFERROR(GETPIVOTDATA("value", financials_wide!$A$3, "adsh", $E234, "tag", "NetIncomeLoss"),"")</f>
        <v>30366000</v>
      </c>
      <c r="L234">
        <f>IFERROR(GETPIVOTDATA("value", financials_wide!$A$3, "adsh", $E234, "tag", "StockholdersEquity"),"")</f>
        <v>368657000</v>
      </c>
      <c r="M234">
        <f t="shared" si="15"/>
        <v>11.944691135662689</v>
      </c>
      <c r="N234" s="3">
        <f t="shared" si="16"/>
        <v>6.895887674651084E-3</v>
      </c>
      <c r="O234" t="str">
        <f t="shared" si="17"/>
        <v>Mid</v>
      </c>
    </row>
    <row r="235" spans="1:15" x14ac:dyDescent="0.25">
      <c r="A235">
        <v>234</v>
      </c>
      <c r="B235">
        <v>6021</v>
      </c>
      <c r="C235" t="str">
        <v>REGIONS FINANCIAL CORP</v>
      </c>
      <c r="D235">
        <v>1281761</v>
      </c>
      <c r="E235" t="str">
        <v>0001281761-26-000019</v>
      </c>
      <c r="F235">
        <f>IFERROR(GETPIVOTDATA("value", financials_wide!$A$3, "adsh", $E235, "tag", "Assets"),"")</f>
        <v>158814000000</v>
      </c>
      <c r="G235">
        <f>IFERROR(GETPIVOTDATA("value", financials_wide!$A$3, "adsh", $E235, "tag", "EarningsPerShareBasic"),"")</f>
        <v>2.31</v>
      </c>
      <c r="H235">
        <f>IFERROR(IFERROR(GETPIVOTDATA("value", financials_wide!$A$3, "adsh", $E235, "tag", "InterestAndDividendIncomeOperating"), GETPIVOTDATA("value", financials_wide!$A$3, "adsh", $E235, "tag", "InterestIncomeOperating")),"")</f>
        <v>7073000000</v>
      </c>
      <c r="I235">
        <f>IFERROR(GETPIVOTDATA("value", financials_wide!$A$3, "adsh", $E235, "tag", "Liabilities"),"")</f>
        <v>139711000000</v>
      </c>
      <c r="J235">
        <f t="shared" si="14"/>
        <v>19103000000</v>
      </c>
      <c r="K235">
        <f>IFERROR(GETPIVOTDATA("value", financials_wide!$A$3, "adsh", $E235, "tag", "NetIncomeLoss"),"")</f>
        <v>2156000000</v>
      </c>
      <c r="L235">
        <f>IFERROR(GETPIVOTDATA("value", financials_wide!$A$3, "adsh", $E235, "tag", "StockholdersEquity"),"")</f>
        <v>19043000000</v>
      </c>
      <c r="M235">
        <f t="shared" si="15"/>
        <v>8.3397573911673586</v>
      </c>
      <c r="N235" s="3">
        <f t="shared" si="16"/>
        <v>1.3575629352575969E-2</v>
      </c>
      <c r="O235" t="str">
        <f t="shared" si="17"/>
        <v>Large</v>
      </c>
    </row>
    <row r="236" spans="1:15" x14ac:dyDescent="0.25">
      <c r="A236">
        <v>235</v>
      </c>
      <c r="B236">
        <v>6021</v>
      </c>
      <c r="C236" t="str">
        <v>BANCORP, INC.</v>
      </c>
      <c r="D236">
        <v>1295401</v>
      </c>
      <c r="E236" t="str">
        <v>0001295401-26-000002</v>
      </c>
      <c r="F236">
        <f>IFERROR(GETPIVOTDATA("value", financials_wide!$A$3, "adsh", $E236, "tag", "Assets"),"")</f>
        <v>9352425000</v>
      </c>
      <c r="G236">
        <f>IFERROR(GETPIVOTDATA("value", financials_wide!$A$3, "adsh", $E236, "tag", "EarningsPerShareBasic"),"")</f>
        <v>4.99</v>
      </c>
      <c r="H236">
        <f>IFERROR(IFERROR(GETPIVOTDATA("value", financials_wide!$A$3, "adsh", $E236, "tag", "InterestAndDividendIncomeOperating"), GETPIVOTDATA("value", financials_wide!$A$3, "adsh", $E236, "tag", "InterestIncomeOperating")),"")</f>
        <v>551369000</v>
      </c>
      <c r="I236">
        <f>IFERROR(GETPIVOTDATA("value", financials_wide!$A$3, "adsh", $E236, "tag", "Liabilities"),"")</f>
        <v>8662629000</v>
      </c>
      <c r="J236">
        <f t="shared" si="14"/>
        <v>689796000</v>
      </c>
      <c r="K236">
        <f>IFERROR(GETPIVOTDATA("value", financials_wide!$A$3, "adsh", $E236, "tag", "NetIncomeLoss"),"")</f>
        <v>228213000</v>
      </c>
      <c r="L236">
        <f>IFERROR(GETPIVOTDATA("value", financials_wide!$A$3, "adsh", $E236, "tag", "StockholdersEquity"),"")</f>
        <v>689796000</v>
      </c>
      <c r="M236">
        <f t="shared" si="15"/>
        <v>13.55824765582868</v>
      </c>
      <c r="N236" s="3">
        <f t="shared" si="16"/>
        <v>2.4401478760856143E-2</v>
      </c>
      <c r="O236" t="str">
        <f t="shared" si="17"/>
        <v>Mid</v>
      </c>
    </row>
    <row r="237" spans="1:15" x14ac:dyDescent="0.25">
      <c r="A237">
        <v>236</v>
      </c>
      <c r="B237">
        <v>6022</v>
      </c>
      <c r="C237" t="str">
        <v>HOME BANCSHARES INC</v>
      </c>
      <c r="D237">
        <v>1331520</v>
      </c>
      <c r="E237" t="str">
        <v>0001331520-26-000051</v>
      </c>
      <c r="F237">
        <f>IFERROR(GETPIVOTDATA("value", financials_wide!$A$3, "adsh", $E237, "tag", "Assets"),"")</f>
        <v>22881879000</v>
      </c>
      <c r="G237">
        <f>IFERROR(GETPIVOTDATA("value", financials_wide!$A$3, "adsh", $E237, "tag", "EarningsPerShareBasic"),"")</f>
        <v>2.41</v>
      </c>
      <c r="H237">
        <f>IFERROR(IFERROR(GETPIVOTDATA("value", financials_wide!$A$3, "adsh", $E237, "tag", "InterestAndDividendIncomeOperating"), GETPIVOTDATA("value", financials_wide!$A$3, "adsh", $E237, "tag", "InterestIncomeOperating")),"")</f>
        <v>1278820000</v>
      </c>
      <c r="I237">
        <f>IFERROR(GETPIVOTDATA("value", financials_wide!$A$3, "adsh", $E237, "tag", "Liabilities"),"")</f>
        <v>18585008000</v>
      </c>
      <c r="J237">
        <f t="shared" si="14"/>
        <v>4296871000</v>
      </c>
      <c r="K237">
        <f>IFERROR(GETPIVOTDATA("value", financials_wide!$A$3, "adsh", $E237, "tag", "NetIncomeLoss"),"")</f>
        <v>475441000</v>
      </c>
      <c r="L237">
        <f>IFERROR(GETPIVOTDATA("value", financials_wide!$A$3, "adsh", $E237, "tag", "StockholdersEquity"),"")</f>
        <v>4296871000</v>
      </c>
      <c r="M237">
        <f t="shared" si="15"/>
        <v>5.3252422518618783</v>
      </c>
      <c r="N237" s="3">
        <f t="shared" si="16"/>
        <v>2.0778057606195714E-2</v>
      </c>
      <c r="O237" t="str">
        <f t="shared" si="17"/>
        <v>Large</v>
      </c>
    </row>
    <row r="238" spans="1:15" x14ac:dyDescent="0.25">
      <c r="A238">
        <v>237</v>
      </c>
      <c r="B238">
        <v>6022</v>
      </c>
      <c r="C238" t="str">
        <v>BANK OF NEW YORK MELLON CORP</v>
      </c>
      <c r="D238">
        <v>1390777</v>
      </c>
      <c r="E238" t="str">
        <v>0001390777-26-000033</v>
      </c>
      <c r="F238">
        <f>IFERROR(GETPIVOTDATA("value", financials_wide!$A$3, "adsh", $E238, "tag", "Assets"),"")</f>
        <v>472300000000</v>
      </c>
      <c r="G238">
        <f>IFERROR(GETPIVOTDATA("value", financials_wide!$A$3, "adsh", $E238, "tag", "EarningsPerShareBasic"),"")</f>
        <v>7.47</v>
      </c>
      <c r="H238">
        <f>IFERROR(IFERROR(GETPIVOTDATA("value", financials_wide!$A$3, "adsh", $E238, "tag", "InterestAndDividendIncomeOperating"), GETPIVOTDATA("value", financials_wide!$A$3, "adsh", $E238, "tag", "InterestIncomeOperating")),"")</f>
        <v>25626000000</v>
      </c>
      <c r="I238">
        <f>IFERROR(GETPIVOTDATA("value", financials_wide!$A$3, "adsh", $E238, "tag", "Liabilities"),"")</f>
        <v>427492000000</v>
      </c>
      <c r="J238">
        <f t="shared" si="14"/>
        <v>44808000000</v>
      </c>
      <c r="K238">
        <f>IFERROR(GETPIVOTDATA("value", financials_wide!$A$3, "adsh", $E238, "tag", "NetIncomeLoss"),"")</f>
        <v>5549000000</v>
      </c>
      <c r="L238">
        <f>IFERROR(GETPIVOTDATA("value", financials_wide!$A$3, "adsh", $E238, "tag", "StockholdersEquity"),"")</f>
        <v>44313000000</v>
      </c>
      <c r="M238">
        <f t="shared" si="15"/>
        <v>10.658271838963735</v>
      </c>
      <c r="N238" s="3">
        <f t="shared" si="16"/>
        <v>1.1748888418378149E-2</v>
      </c>
      <c r="O238" t="str">
        <f t="shared" si="17"/>
        <v>Large</v>
      </c>
    </row>
    <row r="239" spans="1:15" x14ac:dyDescent="0.25">
      <c r="A239">
        <v>238</v>
      </c>
      <c r="B239">
        <v>6022</v>
      </c>
      <c r="C239" t="str">
        <v>CONNECTONE BANCORP, INC.</v>
      </c>
      <c r="D239">
        <v>712771</v>
      </c>
      <c r="E239" t="str">
        <v>0001437749-26-005320</v>
      </c>
      <c r="F239">
        <f>IFERROR(GETPIVOTDATA("value", financials_wide!$A$3, "adsh", $E239, "tag", "Assets"),"")</f>
        <v>14002700000</v>
      </c>
      <c r="G239">
        <f>IFERROR(GETPIVOTDATA("value", financials_wide!$A$3, "adsh", $E239, "tag", "EarningsPerShareBasic"),"")</f>
        <v>1.64</v>
      </c>
      <c r="H239">
        <f>IFERROR(IFERROR(GETPIVOTDATA("value", financials_wide!$A$3, "adsh", $E239, "tag", "InterestAndDividendIncomeOperating"), GETPIVOTDATA("value", financials_wide!$A$3, "adsh", $E239, "tag", "InterestIncomeOperating")),"")</f>
        <v>644868000</v>
      </c>
      <c r="I239">
        <f>IFERROR(GETPIVOTDATA("value", financials_wide!$A$3, "adsh", $E239, "tag", "Liabilities"),"")</f>
        <v>12429360000</v>
      </c>
      <c r="J239">
        <f t="shared" si="14"/>
        <v>1573340000</v>
      </c>
      <c r="K239">
        <f>IFERROR(GETPIVOTDATA("value", financials_wide!$A$3, "adsh", $E239, "tag", "NetIncomeLoss"),"")</f>
        <v>80443000</v>
      </c>
      <c r="L239">
        <f>IFERROR(GETPIVOTDATA("value", financials_wide!$A$3, "adsh", $E239, "tag", "StockholdersEquity"),"")</f>
        <v>1573340000</v>
      </c>
      <c r="M239">
        <f t="shared" si="15"/>
        <v>8.8999834746462945</v>
      </c>
      <c r="N239" s="3">
        <f t="shared" si="16"/>
        <v>5.7448206417333803E-3</v>
      </c>
      <c r="O239" t="str">
        <f t="shared" si="17"/>
        <v>Mid</v>
      </c>
    </row>
    <row r="240" spans="1:15" x14ac:dyDescent="0.25">
      <c r="A240">
        <v>239</v>
      </c>
      <c r="B240">
        <v>6022</v>
      </c>
      <c r="C240" t="str">
        <v>STOCK YARDS BANCORP, INC.</v>
      </c>
      <c r="D240">
        <v>835324</v>
      </c>
      <c r="E240" t="str">
        <v>0001437749-26-005830</v>
      </c>
      <c r="F240">
        <f>IFERROR(GETPIVOTDATA("value", financials_wide!$A$3, "adsh", $E240, "tag", "Assets"),"")</f>
        <v>9536124000</v>
      </c>
      <c r="G240">
        <f>IFERROR(GETPIVOTDATA("value", financials_wide!$A$3, "adsh", $E240, "tag", "EarningsPerShareBasic"),"")</f>
        <v>4.7699999999999996</v>
      </c>
      <c r="H240">
        <f>IFERROR(IFERROR(GETPIVOTDATA("value", financials_wide!$A$3, "adsh", $E240, "tag", "InterestAndDividendIncomeOperating"), GETPIVOTDATA("value", financials_wide!$A$3, "adsh", $E240, "tag", "InterestIncomeOperating")),"")</f>
        <v>467589000</v>
      </c>
      <c r="I240">
        <f>IFERROR(GETPIVOTDATA("value", financials_wide!$A$3, "adsh", $E240, "tag", "Liabilities"),"")</f>
        <v>8460427000</v>
      </c>
      <c r="J240">
        <f t="shared" si="14"/>
        <v>1075697000</v>
      </c>
      <c r="K240">
        <f>IFERROR(GETPIVOTDATA("value", financials_wide!$A$3, "adsh", $E240, "tag", "NetIncomeLoss"),"")</f>
        <v>140150000</v>
      </c>
      <c r="L240">
        <f>IFERROR(GETPIVOTDATA("value", financials_wide!$A$3, "adsh", $E240, "tag", "StockholdersEquity"),"")</f>
        <v>1075697000</v>
      </c>
      <c r="M240">
        <f t="shared" si="15"/>
        <v>8.8650651624016792</v>
      </c>
      <c r="N240" s="3">
        <f t="shared" si="16"/>
        <v>1.4696746812436583E-2</v>
      </c>
      <c r="O240" t="str">
        <f t="shared" si="17"/>
        <v>Mid</v>
      </c>
    </row>
    <row r="241" spans="1:15" x14ac:dyDescent="0.25">
      <c r="A241">
        <v>240</v>
      </c>
      <c r="B241">
        <v>6022</v>
      </c>
      <c r="C241" t="str">
        <v>MERCANTILE BANK CORP</v>
      </c>
      <c r="D241">
        <v>1042729</v>
      </c>
      <c r="E241" t="str">
        <v>0001437749-26-005997</v>
      </c>
      <c r="F241">
        <f>IFERROR(GETPIVOTDATA("value", financials_wide!$A$3, "adsh", $E241, "tag", "Assets"),"")</f>
        <v>6835219000</v>
      </c>
      <c r="G241">
        <f>IFERROR(GETPIVOTDATA("value", financials_wide!$A$3, "adsh", $E241, "tag", "EarningsPerShareBasic"),"")</f>
        <v>5.47</v>
      </c>
      <c r="H241">
        <f>IFERROR(IFERROR(GETPIVOTDATA("value", financials_wide!$A$3, "adsh", $E241, "tag", "InterestAndDividendIncomeOperating"), GETPIVOTDATA("value", financials_wide!$A$3, "adsh", $E241, "tag", "InterestIncomeOperating")),"")</f>
        <v>330194000</v>
      </c>
      <c r="I241">
        <f>IFERROR(GETPIVOTDATA("value", financials_wide!$A$3, "adsh", $E241, "tag", "Liabilities"),"")</f>
        <v>6110335000</v>
      </c>
      <c r="J241">
        <f t="shared" si="14"/>
        <v>724884000</v>
      </c>
      <c r="K241">
        <f>IFERROR(GETPIVOTDATA("value", financials_wide!$A$3, "adsh", $E241, "tag", "NetIncomeLoss"),"")</f>
        <v>88753000</v>
      </c>
      <c r="L241">
        <f>IFERROR(GETPIVOTDATA("value", financials_wide!$A$3, "adsh", $E241, "tag", "StockholdersEquity"),"")</f>
        <v>724884000</v>
      </c>
      <c r="M241">
        <f t="shared" si="15"/>
        <v>9.4293969793787689</v>
      </c>
      <c r="N241" s="3">
        <f t="shared" si="16"/>
        <v>1.2984660769464739E-2</v>
      </c>
      <c r="O241" t="str">
        <f t="shared" si="17"/>
        <v>Mid</v>
      </c>
    </row>
    <row r="242" spans="1:15" x14ac:dyDescent="0.25">
      <c r="A242">
        <v>241</v>
      </c>
      <c r="B242">
        <v>6022</v>
      </c>
      <c r="C242" t="str">
        <v>COASTAL FINANCIAL CORP</v>
      </c>
      <c r="D242">
        <v>1437958</v>
      </c>
      <c r="E242" t="str">
        <v>0001437958-26-000013</v>
      </c>
      <c r="F242">
        <f>IFERROR(GETPIVOTDATA("value", financials_wide!$A$3, "adsh", $E242, "tag", "Assets"),"")</f>
        <v>4741437000</v>
      </c>
      <c r="G242">
        <f>IFERROR(GETPIVOTDATA("value", financials_wide!$A$3, "adsh", $E242, "tag", "EarningsPerShareBasic"),"")</f>
        <v>3.12</v>
      </c>
      <c r="H242">
        <f>IFERROR(IFERROR(GETPIVOTDATA("value", financials_wide!$A$3, "adsh", $E242, "tag", "InterestAndDividendIncomeOperating"), GETPIVOTDATA("value", financials_wide!$A$3, "adsh", $E242, "tag", "InterestIncomeOperating")),"")</f>
        <v>429617000</v>
      </c>
      <c r="I242">
        <f>IFERROR(GETPIVOTDATA("value", financials_wide!$A$3, "adsh", $E242, "tag", "Liabilities"),"")</f>
        <v>4250478000</v>
      </c>
      <c r="J242">
        <f t="shared" si="14"/>
        <v>490959000</v>
      </c>
      <c r="K242">
        <f>IFERROR(GETPIVOTDATA("value", financials_wide!$A$3, "adsh", $E242, "tag", "NetIncomeLoss"),"")</f>
        <v>46993000</v>
      </c>
      <c r="L242">
        <f>IFERROR(GETPIVOTDATA("value", financials_wide!$A$3, "adsh", $E242, "tag", "StockholdersEquity"),"")</f>
        <v>490959000</v>
      </c>
      <c r="M242">
        <f t="shared" si="15"/>
        <v>9.6575009318497056</v>
      </c>
      <c r="N242" s="3">
        <f t="shared" si="16"/>
        <v>9.9111303176652992E-3</v>
      </c>
      <c r="O242" t="str">
        <f t="shared" si="17"/>
        <v>Mid</v>
      </c>
    </row>
    <row r="243" spans="1:15" x14ac:dyDescent="0.25">
      <c r="A243">
        <v>242</v>
      </c>
      <c r="B243">
        <v>6022</v>
      </c>
      <c r="C243" t="str">
        <v>LIVE OAK BANCSHARES, INC.</v>
      </c>
      <c r="D243">
        <v>1462120</v>
      </c>
      <c r="E243" t="str">
        <v>0001462120-26-000020</v>
      </c>
      <c r="F243">
        <f>IFERROR(GETPIVOTDATA("value", financials_wide!$A$3, "adsh", $E243, "tag", "Assets"),"")</f>
        <v>15134778000</v>
      </c>
      <c r="G243">
        <f>IFERROR(GETPIVOTDATA("value", financials_wide!$A$3, "adsh", $E243, "tag", "EarningsPerShareBasic"),"")</f>
        <v>2.25</v>
      </c>
      <c r="H243">
        <f>IFERROR(IFERROR(GETPIVOTDATA("value", financials_wide!$A$3, "adsh", $E243, "tag", "InterestAndDividendIncomeOperating"), GETPIVOTDATA("value", financials_wide!$A$3, "adsh", $E243, "tag", "InterestIncomeOperating")),"")</f>
        <v>908472000</v>
      </c>
      <c r="I243">
        <f>IFERROR(GETPIVOTDATA("value", financials_wide!$A$3, "adsh", $E243, "tag", "Liabilities"),"")</f>
        <v>13880672000</v>
      </c>
      <c r="J243">
        <f t="shared" si="14"/>
        <v>1254106000</v>
      </c>
      <c r="K243">
        <f>IFERROR(GETPIVOTDATA("value", financials_wide!$A$3, "adsh", $E243, "tag", "NetIncomeLoss"),"")</f>
        <v>105871000</v>
      </c>
      <c r="L243">
        <f>IFERROR(GETPIVOTDATA("value", financials_wide!$A$3, "adsh", $E243, "tag", "StockholdersEquity"),"")</f>
        <v>1249868000</v>
      </c>
      <c r="M243">
        <f t="shared" si="15"/>
        <v>12.109101121078385</v>
      </c>
      <c r="N243" s="3">
        <f t="shared" si="16"/>
        <v>6.9952132763361312E-3</v>
      </c>
      <c r="O243" t="str">
        <f t="shared" si="17"/>
        <v>Mid</v>
      </c>
    </row>
    <row r="244" spans="1:15" x14ac:dyDescent="0.25">
      <c r="A244">
        <v>243</v>
      </c>
      <c r="B244">
        <v>6021</v>
      </c>
      <c r="C244" t="str">
        <v>NORTHWEST BANCSHARES, INC.</v>
      </c>
      <c r="D244">
        <v>1471265</v>
      </c>
      <c r="E244" t="str">
        <v>0001471265-26-000008</v>
      </c>
      <c r="F244">
        <f>IFERROR(GETPIVOTDATA("value", financials_wide!$A$3, "adsh", $E244, "tag", "Assets"),"")</f>
        <v>16766617000</v>
      </c>
      <c r="G244">
        <f>IFERROR(GETPIVOTDATA("value", financials_wide!$A$3, "adsh", $E244, "tag", "EarningsPerShareBasic"),"")</f>
        <v>0.93</v>
      </c>
      <c r="H244">
        <f>IFERROR(IFERROR(GETPIVOTDATA("value", financials_wide!$A$3, "adsh", $E244, "tag", "InterestAndDividendIncomeOperating"), GETPIVOTDATA("value", financials_wide!$A$3, "adsh", $E244, "tag", "InterestIncomeOperating")),"")</f>
        <v>749668000</v>
      </c>
      <c r="I244">
        <f>IFERROR(GETPIVOTDATA("value", financials_wide!$A$3, "adsh", $E244, "tag", "Liabilities"),"")</f>
        <v>14876193000</v>
      </c>
      <c r="J244">
        <f t="shared" si="14"/>
        <v>1890424000</v>
      </c>
      <c r="K244">
        <f>IFERROR(GETPIVOTDATA("value", financials_wide!$A$3, "adsh", $E244, "tag", "NetIncomeLoss"),"")</f>
        <v>126013000</v>
      </c>
      <c r="L244">
        <f>IFERROR(GETPIVOTDATA("value", financials_wide!$A$3, "adsh", $E244, "tag", "StockholdersEquity"),"")</f>
        <v>1890424000</v>
      </c>
      <c r="M244">
        <f t="shared" si="15"/>
        <v>8.8692362136748155</v>
      </c>
      <c r="N244" s="3">
        <f t="shared" si="16"/>
        <v>7.5157081479227447E-3</v>
      </c>
      <c r="O244" t="str">
        <f t="shared" si="17"/>
        <v>Mid</v>
      </c>
    </row>
    <row r="245" spans="1:15" x14ac:dyDescent="0.25">
      <c r="A245">
        <v>244</v>
      </c>
      <c r="B245">
        <v>6021</v>
      </c>
      <c r="C245" t="str">
        <v>STELLAR BANCORP, INC.</v>
      </c>
      <c r="D245">
        <v>1473844</v>
      </c>
      <c r="E245" t="str">
        <v>0001473844-26-000006</v>
      </c>
      <c r="F245">
        <f>IFERROR(GETPIVOTDATA("value", financials_wide!$A$3, "adsh", $E245, "tag", "Assets"),"")</f>
        <v>10806594000</v>
      </c>
      <c r="G245">
        <f>IFERROR(GETPIVOTDATA("value", financials_wide!$A$3, "adsh", $E245, "tag", "EarningsPerShareBasic"),"")</f>
        <v>1.99</v>
      </c>
      <c r="H245">
        <f>IFERROR(IFERROR(GETPIVOTDATA("value", financials_wide!$A$3, "adsh", $E245, "tag", "InterestAndDividendIncomeOperating"), GETPIVOTDATA("value", financials_wide!$A$3, "adsh", $E245, "tag", "InterestIncomeOperating")),"")</f>
        <v>574470000</v>
      </c>
      <c r="I245">
        <f>IFERROR(GETPIVOTDATA("value", financials_wide!$A$3, "adsh", $E245, "tag", "Liabilities"),"")</f>
        <v>9137940000</v>
      </c>
      <c r="J245">
        <f t="shared" si="14"/>
        <v>1668654000</v>
      </c>
      <c r="K245">
        <f>IFERROR(GETPIVOTDATA("value", financials_wide!$A$3, "adsh", $E245, "tag", "NetIncomeLoss"),"")</f>
        <v>102872000</v>
      </c>
      <c r="L245">
        <f>IFERROR(GETPIVOTDATA("value", financials_wide!$A$3, "adsh", $E245, "tag", "StockholdersEquity"),"")</f>
        <v>1668654000</v>
      </c>
      <c r="M245">
        <f t="shared" si="15"/>
        <v>6.4762341384133562</v>
      </c>
      <c r="N245" s="3">
        <f t="shared" si="16"/>
        <v>9.5193730790663553E-3</v>
      </c>
      <c r="O245" t="str">
        <f t="shared" si="17"/>
        <v>Mid</v>
      </c>
    </row>
    <row r="246" spans="1:15" x14ac:dyDescent="0.25">
      <c r="A246">
        <v>245</v>
      </c>
      <c r="B246">
        <v>6022</v>
      </c>
      <c r="C246" t="str">
        <v>CUSTOMERS BANCORP, INC.</v>
      </c>
      <c r="D246">
        <v>1488813</v>
      </c>
      <c r="E246" t="str">
        <v>0001488813-26-000029</v>
      </c>
      <c r="F246">
        <f>IFERROR(GETPIVOTDATA("value", financials_wide!$A$3, "adsh", $E246, "tag", "Assets"),"")</f>
        <v>24895868000</v>
      </c>
      <c r="G246">
        <f>IFERROR(GETPIVOTDATA("value", financials_wide!$A$3, "adsh", $E246, "tag", "EarningsPerShareBasic"),"")</f>
        <v>6.46</v>
      </c>
      <c r="H246">
        <f>IFERROR(IFERROR(GETPIVOTDATA("value", financials_wide!$A$3, "adsh", $E246, "tag", "InterestAndDividendIncomeOperating"), GETPIVOTDATA("value", financials_wide!$A$3, "adsh", $E246, "tag", "InterestIncomeOperating")),"")</f>
        <v>1359587000</v>
      </c>
      <c r="I246">
        <f>IFERROR(GETPIVOTDATA("value", financials_wide!$A$3, "adsh", $E246, "tag", "Liabilities"),"")</f>
        <v>22780351000</v>
      </c>
      <c r="J246">
        <f t="shared" si="14"/>
        <v>2115517000</v>
      </c>
      <c r="K246">
        <f>IFERROR(GETPIVOTDATA("value", financials_wide!$A$3, "adsh", $E246, "tag", "NetIncomeLoss"),"")</f>
        <v>224088000</v>
      </c>
      <c r="L246">
        <f>IFERROR(GETPIVOTDATA("value", financials_wide!$A$3, "adsh", $E246, "tag", "StockholdersEquity"),"")</f>
        <v>2115517000</v>
      </c>
      <c r="M246">
        <f t="shared" si="15"/>
        <v>11.768219305257297</v>
      </c>
      <c r="N246" s="3">
        <f t="shared" si="16"/>
        <v>9.0010117341560447E-3</v>
      </c>
      <c r="O246" t="str">
        <f t="shared" si="17"/>
        <v>Large</v>
      </c>
    </row>
    <row r="247" spans="1:15" x14ac:dyDescent="0.25">
      <c r="A247">
        <v>246</v>
      </c>
      <c r="B247">
        <v>6021</v>
      </c>
      <c r="C247" t="str">
        <v>OPTIMUMBANK HOLDINGS, INC.</v>
      </c>
      <c r="D247">
        <v>1288855</v>
      </c>
      <c r="E247" t="str">
        <v>0001493152-26-008143</v>
      </c>
      <c r="F247">
        <f>IFERROR(GETPIVOTDATA("value", financials_wide!$A$3, "adsh", $E247, "tag", "Assets"),"")</f>
        <v>1111678000</v>
      </c>
      <c r="G247">
        <f>IFERROR(GETPIVOTDATA("value", financials_wide!$A$3, "adsh", $E247, "tag", "EarningsPerShareBasic"),"")</f>
        <v>1.42</v>
      </c>
      <c r="H247">
        <f>IFERROR(IFERROR(GETPIVOTDATA("value", financials_wide!$A$3, "adsh", $E247, "tag", "InterestAndDividendIncomeOperating"), GETPIVOTDATA("value", financials_wide!$A$3, "adsh", $E247, "tag", "InterestIncomeOperating")),"")</f>
        <v>64354000</v>
      </c>
      <c r="I247">
        <f>IFERROR(GETPIVOTDATA("value", financials_wide!$A$3, "adsh", $E247, "tag", "Liabilities"),"")</f>
        <v>989781000</v>
      </c>
      <c r="J247">
        <f t="shared" si="14"/>
        <v>121897000</v>
      </c>
      <c r="K247">
        <f>IFERROR(GETPIVOTDATA("value", financials_wide!$A$3, "adsh", $E247, "tag", "NetIncomeLoss"),"")</f>
        <v>16648000</v>
      </c>
      <c r="L247">
        <f>IFERROR(GETPIVOTDATA("value", financials_wide!$A$3, "adsh", $E247, "tag", "StockholdersEquity"),"")</f>
        <v>121897000</v>
      </c>
      <c r="M247">
        <f t="shared" si="15"/>
        <v>9.1198142694241859</v>
      </c>
      <c r="N247" s="3">
        <f t="shared" si="16"/>
        <v>1.4975559469558631E-2</v>
      </c>
      <c r="O247" t="str">
        <f t="shared" si="17"/>
        <v>Small</v>
      </c>
    </row>
    <row r="248" spans="1:15" x14ac:dyDescent="0.25">
      <c r="A248">
        <v>247</v>
      </c>
      <c r="B248">
        <v>6022</v>
      </c>
      <c r="C248" t="str">
        <v>ORIGIN BANCORP, INC.</v>
      </c>
      <c r="D248">
        <v>1516912</v>
      </c>
      <c r="E248" t="str">
        <v>0001516912-26-000011</v>
      </c>
      <c r="F248">
        <f>IFERROR(GETPIVOTDATA("value", financials_wide!$A$3, "adsh", $E248, "tag", "Assets"),"")</f>
        <v>9724722000</v>
      </c>
      <c r="G248">
        <f>IFERROR(GETPIVOTDATA("value", financials_wide!$A$3, "adsh", $E248, "tag", "EarningsPerShareBasic"),"")</f>
        <v>2.42</v>
      </c>
      <c r="H248">
        <f>IFERROR(IFERROR(GETPIVOTDATA("value", financials_wide!$A$3, "adsh", $E248, "tag", "InterestAndDividendIncomeOperating"), GETPIVOTDATA("value", financials_wide!$A$3, "adsh", $E248, "tag", "InterestIncomeOperating")),"")</f>
        <v>537963000</v>
      </c>
      <c r="I248">
        <f>IFERROR(GETPIVOTDATA("value", financials_wide!$A$3, "adsh", $E248, "tag", "Liabilities"),"")</f>
        <v>8478037000</v>
      </c>
      <c r="J248">
        <f t="shared" si="14"/>
        <v>1246685000</v>
      </c>
      <c r="K248">
        <f>IFERROR(GETPIVOTDATA("value", financials_wide!$A$3, "adsh", $E248, "tag", "NetIncomeLoss"),"")</f>
        <v>75197000</v>
      </c>
      <c r="L248">
        <f>IFERROR(GETPIVOTDATA("value", financials_wide!$A$3, "adsh", $E248, "tag", "StockholdersEquity"),"")</f>
        <v>1246685000</v>
      </c>
      <c r="M248">
        <f t="shared" si="15"/>
        <v>7.800464431672796</v>
      </c>
      <c r="N248" s="3">
        <f t="shared" si="16"/>
        <v>7.732560375504822E-3</v>
      </c>
      <c r="O248" t="str">
        <f t="shared" si="17"/>
        <v>Mid</v>
      </c>
    </row>
    <row r="249" spans="1:15" x14ac:dyDescent="0.25">
      <c r="A249">
        <v>248</v>
      </c>
      <c r="B249">
        <v>6022</v>
      </c>
      <c r="C249" t="str">
        <v>TRIUMPH FINANCIAL, INC.</v>
      </c>
      <c r="D249">
        <v>1539638</v>
      </c>
      <c r="E249" t="str">
        <v>0001539638-26-000007</v>
      </c>
      <c r="F249">
        <f>IFERROR(GETPIVOTDATA("value", financials_wide!$A$3, "adsh", $E249, "tag", "Assets"),"")</f>
        <v>6380588000</v>
      </c>
      <c r="G249">
        <f>IFERROR(GETPIVOTDATA("value", financials_wide!$A$3, "adsh", $E249, "tag", "EarningsPerShareBasic"),"")</f>
        <v>0.94</v>
      </c>
      <c r="H249">
        <f>IFERROR(IFERROR(GETPIVOTDATA("value", financials_wide!$A$3, "adsh", $E249, "tag", "InterestAndDividendIncomeOperating"), GETPIVOTDATA("value", financials_wide!$A$3, "adsh", $E249, "tag", "InterestIncomeOperating")),"")</f>
        <v>430467000</v>
      </c>
      <c r="I249">
        <f>IFERROR(GETPIVOTDATA("value", financials_wide!$A$3, "adsh", $E249, "tag", "Liabilities"),"")</f>
        <v>5438817000</v>
      </c>
      <c r="J249">
        <f t="shared" si="14"/>
        <v>941771000</v>
      </c>
      <c r="K249">
        <f>IFERROR(GETPIVOTDATA("value", financials_wide!$A$3, "adsh", $E249, "tag", "NetIncomeLoss"),"")</f>
        <v>25359000</v>
      </c>
      <c r="L249">
        <f>IFERROR(GETPIVOTDATA("value", financials_wide!$A$3, "adsh", $E249, "tag", "StockholdersEquity"),"")</f>
        <v>941771000</v>
      </c>
      <c r="M249">
        <f t="shared" si="15"/>
        <v>6.7750950071726566</v>
      </c>
      <c r="N249" s="3">
        <f t="shared" si="16"/>
        <v>3.9743985977467909E-3</v>
      </c>
      <c r="O249" t="str">
        <f t="shared" si="17"/>
        <v>Mid</v>
      </c>
    </row>
    <row r="250" spans="1:15" x14ac:dyDescent="0.25">
      <c r="A250">
        <v>249</v>
      </c>
      <c r="B250">
        <v>6022</v>
      </c>
      <c r="C250" t="str">
        <v>BUSINESS FIRST BANCSHARES, INC.</v>
      </c>
      <c r="D250">
        <v>1624322</v>
      </c>
      <c r="E250" t="str">
        <v>0001624322-26-000018</v>
      </c>
      <c r="F250">
        <f>IFERROR(GETPIVOTDATA("value", financials_wide!$A$3, "adsh", $E250, "tag", "Assets"),"")</f>
        <v>8214740000</v>
      </c>
      <c r="G250">
        <f>IFERROR(GETPIVOTDATA("value", financials_wide!$A$3, "adsh", $E250, "tag", "EarningsPerShareBasic"),"")</f>
        <v>2.81</v>
      </c>
      <c r="H250">
        <f>IFERROR(IFERROR(GETPIVOTDATA("value", financials_wide!$A$3, "adsh", $E250, "tag", "InterestAndDividendIncomeOperating"), GETPIVOTDATA("value", financials_wide!$A$3, "adsh", $E250, "tag", "InterestIncomeOperating")),"")</f>
        <v>465011000</v>
      </c>
      <c r="I250">
        <f>IFERROR(GETPIVOTDATA("value", financials_wide!$A$3, "adsh", $E250, "tag", "Liabilities"),"")</f>
        <v>7317857000</v>
      </c>
      <c r="J250">
        <f t="shared" si="14"/>
        <v>896883000</v>
      </c>
      <c r="K250">
        <f>IFERROR(GETPIVOTDATA("value", financials_wide!$A$3, "adsh", $E250, "tag", "NetIncomeLoss"),"")</f>
        <v>87861000</v>
      </c>
      <c r="L250">
        <f>IFERROR(GETPIVOTDATA("value", financials_wide!$A$3, "adsh", $E250, "tag", "StockholdersEquity"),"")</f>
        <v>896883000</v>
      </c>
      <c r="M250">
        <f t="shared" si="15"/>
        <v>9.1592102871835017</v>
      </c>
      <c r="N250" s="3">
        <f t="shared" si="16"/>
        <v>1.069553022980642E-2</v>
      </c>
      <c r="O250" t="str">
        <f t="shared" si="17"/>
        <v>Mid</v>
      </c>
    </row>
    <row r="251" spans="1:15" x14ac:dyDescent="0.25">
      <c r="A251">
        <v>250</v>
      </c>
      <c r="B251">
        <v>6021</v>
      </c>
      <c r="C251" t="str">
        <v>JPMORGAN CHASE &amp; CO</v>
      </c>
      <c r="D251">
        <v>19617</v>
      </c>
      <c r="E251" t="str">
        <v>0001628280-26-008131</v>
      </c>
      <c r="F251">
        <f>IFERROR(GETPIVOTDATA("value", financials_wide!$A$3, "adsh", $E251, "tag", "Assets"),"")</f>
        <v>4424900000000</v>
      </c>
      <c r="G251">
        <f>IFERROR(GETPIVOTDATA("value", financials_wide!$A$3, "adsh", $E251, "tag", "EarningsPerShareBasic"),"")</f>
        <v>20.05</v>
      </c>
      <c r="H251">
        <f>IFERROR(IFERROR(GETPIVOTDATA("value", financials_wide!$A$3, "adsh", $E251, "tag", "InterestAndDividendIncomeOperating"), GETPIVOTDATA("value", financials_wide!$A$3, "adsh", $E251, "tag", "InterestIncomeOperating")),"")</f>
        <v>0</v>
      </c>
      <c r="I251">
        <f>IFERROR(GETPIVOTDATA("value", financials_wide!$A$3, "adsh", $E251, "tag", "Liabilities"),"")</f>
        <v>4062462000000</v>
      </c>
      <c r="J251">
        <f t="shared" si="14"/>
        <v>362438000000</v>
      </c>
      <c r="K251">
        <f>IFERROR(GETPIVOTDATA("value", financials_wide!$A$3, "adsh", $E251, "tag", "NetIncomeLoss"),"")</f>
        <v>57048000000</v>
      </c>
      <c r="L251">
        <f>IFERROR(GETPIVOTDATA("value", financials_wide!$A$3, "adsh", $E251, "tag", "StockholdersEquity"),"")</f>
        <v>362438000000</v>
      </c>
      <c r="M251">
        <f t="shared" si="15"/>
        <v>12.208708799849905</v>
      </c>
      <c r="N251" s="3">
        <f t="shared" si="16"/>
        <v>1.2892494745643969E-2</v>
      </c>
      <c r="O251" t="str">
        <f t="shared" si="17"/>
        <v>Large</v>
      </c>
    </row>
    <row r="252" spans="1:15" x14ac:dyDescent="0.25">
      <c r="A252">
        <v>251</v>
      </c>
      <c r="B252">
        <v>6022</v>
      </c>
      <c r="C252" t="str">
        <v>WESTERN ALLIANCE BANCORPORATION</v>
      </c>
      <c r="D252">
        <v>1212545</v>
      </c>
      <c r="E252" t="str">
        <v>0001628280-26-010336</v>
      </c>
      <c r="F252">
        <f>IFERROR(GETPIVOTDATA("value", financials_wide!$A$3, "adsh", $E252, "tag", "Assets"),"")</f>
        <v>92774000000</v>
      </c>
      <c r="G252">
        <f>IFERROR(GETPIVOTDATA("value", financials_wide!$A$3, "adsh", $E252, "tag", "EarningsPerShareBasic"),"")</f>
        <v>8.7899999999999991</v>
      </c>
      <c r="H252">
        <f>IFERROR(IFERROR(GETPIVOTDATA("value", financials_wide!$A$3, "adsh", $E252, "tag", "InterestAndDividendIncomeOperating"), GETPIVOTDATA("value", financials_wide!$A$3, "adsh", $E252, "tag", "InterestIncomeOperating")),"")</f>
        <v>4692900000</v>
      </c>
      <c r="I252">
        <f>IFERROR(GETPIVOTDATA("value", financials_wide!$A$3, "adsh", $E252, "tag", "Liabilities"),"")</f>
        <v>84828000000</v>
      </c>
      <c r="J252">
        <f t="shared" si="14"/>
        <v>7946000000</v>
      </c>
      <c r="K252">
        <f>IFERROR(GETPIVOTDATA("value", financials_wide!$A$3, "adsh", $E252, "tag", "NetIncomeLoss"),"")</f>
        <v>969000000</v>
      </c>
      <c r="L252">
        <f>IFERROR(GETPIVOTDATA("value", financials_wide!$A$3, "adsh", $E252, "tag", "StockholdersEquity"),"")</f>
        <v>7653000000</v>
      </c>
      <c r="M252">
        <f t="shared" si="15"/>
        <v>12.122566313863844</v>
      </c>
      <c r="N252" s="3">
        <f t="shared" si="16"/>
        <v>1.044473667191239E-2</v>
      </c>
      <c r="O252" t="str">
        <f t="shared" si="17"/>
        <v>Large</v>
      </c>
    </row>
    <row r="253" spans="1:15" x14ac:dyDescent="0.25">
      <c r="A253">
        <v>252</v>
      </c>
      <c r="B253">
        <v>6021</v>
      </c>
      <c r="C253" t="str">
        <v>KEYCORP /NEW/</v>
      </c>
      <c r="D253">
        <v>91576</v>
      </c>
      <c r="E253" t="str">
        <v>0001628280-26-010546</v>
      </c>
      <c r="F253">
        <f>IFERROR(GETPIVOTDATA("value", financials_wide!$A$3, "adsh", $E253, "tag", "Assets"),"")</f>
        <v>184381000000</v>
      </c>
      <c r="G253">
        <f>IFERROR(GETPIVOTDATA("value", financials_wide!$A$3, "adsh", $E253, "tag", "EarningsPerShareBasic"),"")</f>
        <v>1.53</v>
      </c>
      <c r="H253">
        <f>IFERROR(IFERROR(GETPIVOTDATA("value", financials_wide!$A$3, "adsh", $E253, "tag", "InterestAndDividendIncomeOperating"), GETPIVOTDATA("value", financials_wide!$A$3, "adsh", $E253, "tag", "InterestIncomeOperating")),"")</f>
        <v>8386000000</v>
      </c>
      <c r="I253">
        <f>IFERROR(GETPIVOTDATA("value", financials_wide!$A$3, "adsh", $E253, "tag", "Liabilities"),"")</f>
        <v>164000000000</v>
      </c>
      <c r="J253">
        <f t="shared" si="14"/>
        <v>20381000000</v>
      </c>
      <c r="K253">
        <f>IFERROR(GETPIVOTDATA("value", financials_wide!$A$3, "adsh", $E253, "tag", "NetIncomeLoss"),"")</f>
        <v>1829000000</v>
      </c>
      <c r="L253">
        <f>IFERROR(GETPIVOTDATA("value", financials_wide!$A$3, "adsh", $E253, "tag", "StockholdersEquity"),"")</f>
        <v>20381000000</v>
      </c>
      <c r="M253">
        <f t="shared" si="15"/>
        <v>9.0467101712379172</v>
      </c>
      <c r="N253" s="3">
        <f t="shared" si="16"/>
        <v>9.9196771901660149E-3</v>
      </c>
      <c r="O253" t="str">
        <f t="shared" si="17"/>
        <v>Large</v>
      </c>
    </row>
    <row r="254" spans="1:15" x14ac:dyDescent="0.25">
      <c r="A254">
        <v>253</v>
      </c>
      <c r="B254">
        <v>6021</v>
      </c>
      <c r="C254" t="str">
        <v>SIMMONS FIRST NATIONAL CORP</v>
      </c>
      <c r="D254">
        <v>90498</v>
      </c>
      <c r="E254" t="str">
        <v>0001628280-26-011618</v>
      </c>
      <c r="F254">
        <f>IFERROR(GETPIVOTDATA("value", financials_wide!$A$3, "adsh", $E254, "tag", "Assets"),"")</f>
        <v>24540877000</v>
      </c>
      <c r="G254">
        <f>IFERROR(GETPIVOTDATA("value", financials_wide!$A$3, "adsh", $E254, "tag", "EarningsPerShareBasic"),"")</f>
        <v>-2.96</v>
      </c>
      <c r="H254">
        <f>IFERROR(IFERROR(GETPIVOTDATA("value", financials_wide!$A$3, "adsh", $E254, "tag", "InterestAndDividendIncomeOperating"), GETPIVOTDATA("value", financials_wide!$A$3, "adsh", $E254, "tag", "InterestIncomeOperating")),"")</f>
        <v>1243814000</v>
      </c>
      <c r="I254">
        <f>IFERROR(GETPIVOTDATA("value", financials_wide!$A$3, "adsh", $E254, "tag", "Liabilities"),"")</f>
        <v>21121637000</v>
      </c>
      <c r="J254">
        <f t="shared" si="14"/>
        <v>3419240000</v>
      </c>
      <c r="K254">
        <f>IFERROR(GETPIVOTDATA("value", financials_wide!$A$3, "adsh", $E254, "tag", "NetIncomeLoss"),"")</f>
        <v>-397553000</v>
      </c>
      <c r="L254">
        <f>IFERROR(GETPIVOTDATA("value", financials_wide!$A$3, "adsh", $E254, "tag", "StockholdersEquity"),"")</f>
        <v>3419240000</v>
      </c>
      <c r="M254">
        <f t="shared" si="15"/>
        <v>7.177289982569226</v>
      </c>
      <c r="N254" s="3">
        <f t="shared" si="16"/>
        <v>-1.6199624813734246E-2</v>
      </c>
      <c r="O254" t="str">
        <f t="shared" si="17"/>
        <v>Large</v>
      </c>
    </row>
    <row r="255" spans="1:15" x14ac:dyDescent="0.25">
      <c r="A255">
        <v>254</v>
      </c>
      <c r="B255">
        <v>6022</v>
      </c>
      <c r="C255" t="str">
        <v>FIVE STAR BANCORP</v>
      </c>
      <c r="D255">
        <v>1275168</v>
      </c>
      <c r="E255" t="str">
        <v>0001628280-26-012724</v>
      </c>
      <c r="F255">
        <f>IFERROR(GETPIVOTDATA("value", financials_wide!$A$3, "adsh", $E255, "tag", "Assets"),"")</f>
        <v>4754861000</v>
      </c>
      <c r="G255">
        <f>IFERROR(GETPIVOTDATA("value", financials_wide!$A$3, "adsh", $E255, "tag", "EarningsPerShareBasic"),"")</f>
        <v>2.9</v>
      </c>
      <c r="H255">
        <f>IFERROR(IFERROR(GETPIVOTDATA("value", financials_wide!$A$3, "adsh", $E255, "tag", "InterestAndDividendIncomeOperating"), GETPIVOTDATA("value", financials_wide!$A$3, "adsh", $E255, "tag", "InterestIncomeOperating")),"")</f>
        <v>248933000</v>
      </c>
      <c r="I255">
        <f>IFERROR(GETPIVOTDATA("value", financials_wide!$A$3, "adsh", $E255, "tag", "Liabilities"),"")</f>
        <v>4309029000</v>
      </c>
      <c r="J255">
        <f t="shared" si="14"/>
        <v>445832000</v>
      </c>
      <c r="K255">
        <f>IFERROR(GETPIVOTDATA("value", financials_wide!$A$3, "adsh", $E255, "tag", "NetIncomeLoss"),"")</f>
        <v>61606000</v>
      </c>
      <c r="L255">
        <f>IFERROR(GETPIVOTDATA("value", financials_wide!$A$3, "adsh", $E255, "tag", "StockholdersEquity"),"")</f>
        <v>445832000</v>
      </c>
      <c r="M255">
        <f t="shared" si="15"/>
        <v>10.665140680794559</v>
      </c>
      <c r="N255" s="3">
        <f t="shared" si="16"/>
        <v>1.2956425014316927E-2</v>
      </c>
      <c r="O255" t="str">
        <f t="shared" si="17"/>
        <v>Mid</v>
      </c>
    </row>
    <row r="256" spans="1:15" x14ac:dyDescent="0.25">
      <c r="A256">
        <v>255</v>
      </c>
      <c r="B256">
        <v>6022</v>
      </c>
      <c r="C256" t="str">
        <v>SEACOAST BANKING CORP OF FLORIDA</v>
      </c>
      <c r="D256">
        <v>730708</v>
      </c>
      <c r="E256" t="str">
        <v>0001628280-26-012787</v>
      </c>
      <c r="F256">
        <f>IFERROR(GETPIVOTDATA("value", financials_wide!$A$3, "adsh", $E256, "tag", "Assets"),"")</f>
        <v>20842331000</v>
      </c>
      <c r="G256">
        <f>IFERROR(GETPIVOTDATA("value", financials_wide!$A$3, "adsh", $E256, "tag", "EarningsPerShareBasic"),"")</f>
        <v>1.59</v>
      </c>
      <c r="H256">
        <f>IFERROR(IFERROR(GETPIVOTDATA("value", financials_wide!$A$3, "adsh", $E256, "tag", "InterestAndDividendIncomeOperating"), GETPIVOTDATA("value", financials_wide!$A$3, "adsh", $E256, "tag", "InterestIncomeOperating")),"")</f>
        <v>836374000</v>
      </c>
      <c r="I256">
        <f>IFERROR(GETPIVOTDATA("value", financials_wide!$A$3, "adsh", $E256, "tag", "Liabilities"),"")</f>
        <v>17786544000</v>
      </c>
      <c r="J256">
        <f t="shared" si="14"/>
        <v>3055787000</v>
      </c>
      <c r="K256">
        <f>IFERROR(GETPIVOTDATA("value", financials_wide!$A$3, "adsh", $E256, "tag", "NetIncomeLoss"),"")</f>
        <v>144878000</v>
      </c>
      <c r="L256">
        <f>IFERROR(GETPIVOTDATA("value", financials_wide!$A$3, "adsh", $E256, "tag", "StockholdersEquity"),"")</f>
        <v>2712662000</v>
      </c>
      <c r="M256">
        <f t="shared" si="15"/>
        <v>7.6833497870357608</v>
      </c>
      <c r="N256" s="3">
        <f t="shared" si="16"/>
        <v>6.95114188523347E-3</v>
      </c>
      <c r="O256" t="str">
        <f t="shared" si="17"/>
        <v>Large</v>
      </c>
    </row>
    <row r="257" spans="1:15" x14ac:dyDescent="0.25">
      <c r="A257">
        <v>256</v>
      </c>
      <c r="B257">
        <v>6022</v>
      </c>
      <c r="C257" t="str">
        <v>FIRST WESTERN FINANCIAL INC</v>
      </c>
      <c r="D257">
        <v>1327607</v>
      </c>
      <c r="E257" t="str">
        <v>0001628280-26-012825</v>
      </c>
      <c r="F257">
        <f>IFERROR(GETPIVOTDATA("value", financials_wide!$A$3, "adsh", $E257, "tag", "Assets"),"")</f>
        <v>3154981000</v>
      </c>
      <c r="G257">
        <f>IFERROR(GETPIVOTDATA("value", financials_wide!$A$3, "adsh", $E257, "tag", "EarningsPerShareBasic"),"")</f>
        <v>1.36</v>
      </c>
      <c r="H257">
        <f>IFERROR(IFERROR(GETPIVOTDATA("value", financials_wide!$A$3, "adsh", $E257, "tag", "InterestAndDividendIncomeOperating"), GETPIVOTDATA("value", financials_wide!$A$3, "adsh", $E257, "tag", "InterestIncomeOperating")),"")</f>
        <v>159787000</v>
      </c>
      <c r="I257">
        <f>IFERROR(GETPIVOTDATA("value", financials_wide!$A$3, "adsh", $E257, "tag", "Liabilities"),"")</f>
        <v>2889421000</v>
      </c>
      <c r="J257">
        <f t="shared" si="14"/>
        <v>265560000</v>
      </c>
      <c r="K257">
        <f>IFERROR(GETPIVOTDATA("value", financials_wide!$A$3, "adsh", $E257, "tag", "NetIncomeLoss"),"")</f>
        <v>13188000</v>
      </c>
      <c r="L257">
        <f>IFERROR(GETPIVOTDATA("value", financials_wide!$A$3, "adsh", $E257, "tag", "StockholdersEquity"),"")</f>
        <v>265560000</v>
      </c>
      <c r="M257">
        <f t="shared" si="15"/>
        <v>11.880482753426721</v>
      </c>
      <c r="N257" s="3">
        <f t="shared" si="16"/>
        <v>4.1800568688052323E-3</v>
      </c>
      <c r="O257" t="str">
        <f t="shared" si="17"/>
        <v>Mid</v>
      </c>
    </row>
    <row r="258" spans="1:15" x14ac:dyDescent="0.25">
      <c r="A258">
        <v>257</v>
      </c>
      <c r="B258">
        <v>6021</v>
      </c>
      <c r="C258" t="str">
        <v>BANC OF CALIFORNIA, INC.</v>
      </c>
      <c r="D258">
        <v>1169770</v>
      </c>
      <c r="E258" t="str">
        <v>0001628280-26-012946</v>
      </c>
      <c r="F258">
        <f>IFERROR(GETPIVOTDATA("value", financials_wide!$A$3, "adsh", $E258, "tag", "Assets"),"")</f>
        <v>34797442000</v>
      </c>
      <c r="G258">
        <f>IFERROR(GETPIVOTDATA("value", financials_wide!$A$3, "adsh", $E258, "tag", "EarningsPerShareBasic"),"")</f>
        <v>1.18</v>
      </c>
      <c r="H258">
        <f>IFERROR(IFERROR(GETPIVOTDATA("value", financials_wide!$A$3, "adsh", $E258, "tag", "InterestAndDividendIncomeOperating"), GETPIVOTDATA("value", financials_wide!$A$3, "adsh", $E258, "tag", "InterestIncomeOperating")),"")</f>
        <v>1676653000</v>
      </c>
      <c r="I258">
        <f>IFERROR(GETPIVOTDATA("value", financials_wide!$A$3, "adsh", $E258, "tag", "Liabilities"),"")</f>
        <v>31256165000</v>
      </c>
      <c r="J258">
        <f t="shared" si="14"/>
        <v>3541277000</v>
      </c>
      <c r="K258">
        <f>IFERROR(GETPIVOTDATA("value", financials_wide!$A$3, "adsh", $E258, "tag", "NetIncomeLoss"),"")</f>
        <v>228973000</v>
      </c>
      <c r="L258">
        <f>IFERROR(GETPIVOTDATA("value", financials_wide!$A$3, "adsh", $E258, "tag", "StockholdersEquity"),"")</f>
        <v>3541277000</v>
      </c>
      <c r="M258">
        <f t="shared" si="15"/>
        <v>9.826241211856626</v>
      </c>
      <c r="N258" s="3">
        <f t="shared" si="16"/>
        <v>6.5801675881807633E-3</v>
      </c>
      <c r="O258" t="str">
        <f t="shared" si="17"/>
        <v>Large</v>
      </c>
    </row>
    <row r="259" spans="1:15" x14ac:dyDescent="0.25">
      <c r="A259">
        <v>258</v>
      </c>
      <c r="B259">
        <v>6022</v>
      </c>
      <c r="C259" t="str">
        <v>FB FINANCIAL CORP</v>
      </c>
      <c r="D259">
        <v>1649749</v>
      </c>
      <c r="E259" t="str">
        <v>0001649749-26-000012</v>
      </c>
      <c r="F259">
        <f>IFERROR(GETPIVOTDATA("value", financials_wide!$A$3, "adsh", $E259, "tag", "Assets"),"")</f>
        <v>16300292000</v>
      </c>
      <c r="G259">
        <f>IFERROR(GETPIVOTDATA("value", financials_wide!$A$3, "adsh", $E259, "tag", "EarningsPerShareBasic"),"")</f>
        <v>2.4700000000000002</v>
      </c>
      <c r="H259">
        <f>IFERROR(IFERROR(GETPIVOTDATA("value", financials_wide!$A$3, "adsh", $E259, "tag", "InterestAndDividendIncomeOperating"), GETPIVOTDATA("value", financials_wide!$A$3, "adsh", $E259, "tag", "InterestIncomeOperating")),"")</f>
        <v>833926000</v>
      </c>
      <c r="I259">
        <f>IFERROR(GETPIVOTDATA("value", financials_wide!$A$3, "adsh", $E259, "tag", "Liabilities"),"")</f>
        <v>14352034000</v>
      </c>
      <c r="J259">
        <f>IFERROR(F259-I259,"")</f>
        <v>1948258000</v>
      </c>
      <c r="K259">
        <f>IFERROR(GETPIVOTDATA("value", financials_wide!$A$3, "adsh", $E259, "tag", "NetIncomeLoss"),"")</f>
        <v>122622000</v>
      </c>
      <c r="L259">
        <f>IFERROR(GETPIVOTDATA("value", financials_wide!$A$3, "adsh", $E259, "tag", "StockholdersEquity"),"")</f>
        <v>1948165000</v>
      </c>
      <c r="M259">
        <f t="shared" ref="M259:M261" si="18">IFERROR(F259/L259,NA())</f>
        <v>8.3669976619023547</v>
      </c>
      <c r="N259" s="3">
        <f t="shared" ref="N259:N261" si="19">IFERROR(K259/F259,NA())</f>
        <v>7.5226873236381286E-3</v>
      </c>
      <c r="O259" t="str">
        <f>IF(F259="","",IF(F259&lt;=$P$2,"Small",IF(F259&lt;=$Q$2,"Mid","Large")))</f>
        <v>Mid</v>
      </c>
    </row>
    <row r="260" spans="1:15" x14ac:dyDescent="0.25">
      <c r="A260">
        <v>259</v>
      </c>
      <c r="B260">
        <v>6021</v>
      </c>
      <c r="C260" t="str">
        <v>AMERANT BANCORP INC.</v>
      </c>
      <c r="D260">
        <v>1734342</v>
      </c>
      <c r="E260" t="str">
        <v>0001734342-26-000017</v>
      </c>
      <c r="F260">
        <f>IFERROR(GETPIVOTDATA("value", financials_wide!$A$3, "adsh", $E260, "tag", "Assets"),"")</f>
        <v>9777018000</v>
      </c>
      <c r="G260">
        <f>IFERROR(GETPIVOTDATA("value", financials_wide!$A$3, "adsh", $E260, "tag", "EarningsPerShareBasic"),"")</f>
        <v>1.26</v>
      </c>
      <c r="H260">
        <f>IFERROR(IFERROR(GETPIVOTDATA("value", financials_wide!$A$3, "adsh", $E260, "tag", "InterestAndDividendIncomeOperating"), GETPIVOTDATA("value", financials_wide!$A$3, "adsh", $E260, "tag", "InterestIncomeOperating")),"")</f>
        <v>597428000</v>
      </c>
      <c r="I260">
        <f>IFERROR(GETPIVOTDATA("value", financials_wide!$A$3, "adsh", $E260, "tag", "Liabilities"),"")</f>
        <v>8838216000</v>
      </c>
      <c r="J260">
        <f>IFERROR(F260-I260,"")</f>
        <v>938802000</v>
      </c>
      <c r="K260">
        <f>IFERROR(GETPIVOTDATA("value", financials_wide!$A$3, "adsh", $E260, "tag", "NetIncomeLoss"),"")</f>
        <v>52417000</v>
      </c>
      <c r="L260">
        <f>IFERROR(GETPIVOTDATA("value", financials_wide!$A$3, "adsh", $E260, "tag", "StockholdersEquity"),"")</f>
        <v>938802000</v>
      </c>
      <c r="M260">
        <f t="shared" si="18"/>
        <v>10.414355742744476</v>
      </c>
      <c r="N260" s="3">
        <f t="shared" si="19"/>
        <v>5.3612461386488191E-3</v>
      </c>
      <c r="O260" t="str">
        <f>IF(F260="","",IF(F260&lt;=$P$2,"Small",IF(F260&lt;=$Q$2,"Mid","Large")))</f>
        <v>Mid</v>
      </c>
    </row>
    <row r="261" spans="1:15" x14ac:dyDescent="0.25">
      <c r="A261">
        <v>260</v>
      </c>
      <c r="B261">
        <v>6021</v>
      </c>
      <c r="C261" t="str">
        <v>BURKE &amp; HERBERT FINANCIAL SERVICES CORP.</v>
      </c>
      <c r="D261">
        <v>1964333</v>
      </c>
      <c r="E261" t="str">
        <v>0001964333-26-000016</v>
      </c>
      <c r="F261">
        <f>IFERROR(GETPIVOTDATA("value", financials_wide!$A$3, "adsh", $E261, "tag", "Assets"),"")</f>
        <v>7920626000</v>
      </c>
      <c r="G261">
        <f>IFERROR(GETPIVOTDATA("value", financials_wide!$A$3, "adsh", $E261, "tag", "EarningsPerShareBasic"),"")</f>
        <v>7.76</v>
      </c>
      <c r="H261">
        <f>IFERROR(IFERROR(GETPIVOTDATA("value", financials_wide!$A$3, "adsh", $E261, "tag", "InterestAndDividendIncomeOperating"), GETPIVOTDATA("value", financials_wide!$A$3, "adsh", $E261, "tag", "InterestIncomeOperating")),"")</f>
        <v>0</v>
      </c>
      <c r="I261">
        <f>IFERROR(GETPIVOTDATA("value", financials_wide!$A$3, "adsh", $E261, "tag", "Liabilities"),"")</f>
        <v>7065977000</v>
      </c>
      <c r="J261">
        <f>IFERROR(F261-I261,"")</f>
        <v>854649000</v>
      </c>
      <c r="K261">
        <f>IFERROR(GETPIVOTDATA("value", financials_wide!$A$3, "adsh", $E261, "tag", "NetIncomeLoss"),"")</f>
        <v>117306000</v>
      </c>
      <c r="L261">
        <f>IFERROR(GETPIVOTDATA("value", financials_wide!$A$3, "adsh", $E261, "tag", "StockholdersEquity"),"")</f>
        <v>854649000</v>
      </c>
      <c r="M261">
        <f t="shared" si="18"/>
        <v>9.2676946910369047</v>
      </c>
      <c r="N261" s="3">
        <f t="shared" si="19"/>
        <v>1.4810193032722414E-2</v>
      </c>
      <c r="O261" t="str">
        <f>IF(F261="","",IF(F261&lt;=$P$2,"Small",IF(F261&lt;=$Q$2,"Mid","Large")))</f>
        <v>Mid</v>
      </c>
    </row>
  </sheetData>
  <conditionalFormatting sqref="K2:K261">
    <cfRule type="top10" dxfId="1" priority="1" bottom="1" rank="10"/>
    <cfRule type="top10" dxfId="0" priority="2" rank="10"/>
  </conditionalFormatting>
  <conditionalFormatting sqref="M2:M26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">
    <cfRule type="iconSet" priority="6">
      <iconSet iconSet="3Flags">
        <cfvo type="percent" val="0"/>
        <cfvo type="percent" val="33"/>
        <cfvo type="percent" val="67"/>
      </iconSet>
    </cfRule>
  </conditionalFormatting>
  <conditionalFormatting sqref="N2:N261">
    <cfRule type="iconSet" priority="3">
      <iconSet iconSet="3Arrows">
        <cfvo type="percent" val="0"/>
        <cfvo type="percent" val="33"/>
        <cfvo type="percent" val="67"/>
      </iconSet>
    </cfRule>
    <cfRule type="colorScale" priority="4">
      <colorScale>
        <cfvo type="formula" val="&quot;ROA&lt;0&quot;"/>
        <cfvo type="percentile" val="0"/>
        <cfvo type="formula" val="&quot;ROA&gt;0&quot;"/>
        <color rgb="FFF8696B"/>
        <color rgb="FFFFEB84"/>
        <color rgb="FF63BE7B"/>
      </colorScale>
    </cfRule>
    <cfRule type="colorScale" priority="5">
      <colorScale>
        <cfvo type="num" val="&quot;&lt;0&quot;"/>
        <cfvo type="percentile" val="0"/>
        <cfvo type="formula" val="&quot;&gt;0&quot;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3AE5-685D-4055-A6E8-2931B9ACF57A}">
  <dimension ref="A1:G261"/>
  <sheetViews>
    <sheetView workbookViewId="0"/>
  </sheetViews>
  <sheetFormatPr defaultRowHeight="15" x14ac:dyDescent="0.25"/>
  <cols>
    <col min="1" max="1" width="20.7109375" bestFit="1" customWidth="1"/>
    <col min="2" max="2" width="8" bestFit="1" customWidth="1"/>
    <col min="3" max="3" width="52.5703125" bestFit="1" customWidth="1"/>
    <col min="4" max="4" width="5.5703125" bestFit="1" customWidth="1"/>
    <col min="5" max="5" width="6.140625" bestFit="1" customWidth="1"/>
    <col min="6" max="6" width="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39311</v>
      </c>
      <c r="C2" t="s">
        <v>8</v>
      </c>
      <c r="D2">
        <v>6022</v>
      </c>
      <c r="E2">
        <v>1231</v>
      </c>
      <c r="F2" t="s">
        <v>9</v>
      </c>
      <c r="G2">
        <v>20251231</v>
      </c>
    </row>
    <row r="3" spans="1:7" x14ac:dyDescent="0.25">
      <c r="A3" t="s">
        <v>10</v>
      </c>
      <c r="B3">
        <v>706129</v>
      </c>
      <c r="C3" t="s">
        <v>11</v>
      </c>
      <c r="D3">
        <v>6022</v>
      </c>
      <c r="E3">
        <v>1231</v>
      </c>
      <c r="F3" t="s">
        <v>9</v>
      </c>
      <c r="G3">
        <v>20251231</v>
      </c>
    </row>
    <row r="4" spans="1:7" x14ac:dyDescent="0.25">
      <c r="A4" t="s">
        <v>12</v>
      </c>
      <c r="B4">
        <v>706863</v>
      </c>
      <c r="C4" t="s">
        <v>13</v>
      </c>
      <c r="D4">
        <v>6022</v>
      </c>
      <c r="E4">
        <v>1231</v>
      </c>
      <c r="F4" t="s">
        <v>9</v>
      </c>
      <c r="G4">
        <v>20251231</v>
      </c>
    </row>
    <row r="5" spans="1:7" x14ac:dyDescent="0.25">
      <c r="A5" t="s">
        <v>14</v>
      </c>
      <c r="B5">
        <v>711669</v>
      </c>
      <c r="C5" t="s">
        <v>15</v>
      </c>
      <c r="D5">
        <v>6022</v>
      </c>
      <c r="E5">
        <v>1231</v>
      </c>
      <c r="F5" t="s">
        <v>9</v>
      </c>
      <c r="G5">
        <v>20251231</v>
      </c>
    </row>
    <row r="6" spans="1:7" x14ac:dyDescent="0.25">
      <c r="A6" t="s">
        <v>16</v>
      </c>
      <c r="B6">
        <v>714562</v>
      </c>
      <c r="C6" t="s">
        <v>17</v>
      </c>
      <c r="D6">
        <v>6022</v>
      </c>
      <c r="E6">
        <v>1231</v>
      </c>
      <c r="F6" t="s">
        <v>9</v>
      </c>
      <c r="G6">
        <v>20251231</v>
      </c>
    </row>
    <row r="7" spans="1:7" x14ac:dyDescent="0.25">
      <c r="A7" t="s">
        <v>18</v>
      </c>
      <c r="B7">
        <v>717538</v>
      </c>
      <c r="C7" t="s">
        <v>19</v>
      </c>
      <c r="D7">
        <v>6021</v>
      </c>
      <c r="E7">
        <v>1231</v>
      </c>
      <c r="F7" t="s">
        <v>9</v>
      </c>
      <c r="G7">
        <v>20251231</v>
      </c>
    </row>
    <row r="8" spans="1:7" x14ac:dyDescent="0.25">
      <c r="A8" t="s">
        <v>20</v>
      </c>
      <c r="B8">
        <v>723646</v>
      </c>
      <c r="C8" t="s">
        <v>21</v>
      </c>
      <c r="D8">
        <v>6022</v>
      </c>
      <c r="E8">
        <v>1231</v>
      </c>
      <c r="F8" t="s">
        <v>9</v>
      </c>
      <c r="G8">
        <v>20251231</v>
      </c>
    </row>
    <row r="9" spans="1:7" x14ac:dyDescent="0.25">
      <c r="A9" t="s">
        <v>22</v>
      </c>
      <c r="B9">
        <v>732417</v>
      </c>
      <c r="C9" t="s">
        <v>23</v>
      </c>
      <c r="D9">
        <v>6022</v>
      </c>
      <c r="E9">
        <v>1231</v>
      </c>
      <c r="F9" t="s">
        <v>9</v>
      </c>
      <c r="G9">
        <v>20251231</v>
      </c>
    </row>
    <row r="10" spans="1:7" x14ac:dyDescent="0.25">
      <c r="A10" t="s">
        <v>24</v>
      </c>
      <c r="B10">
        <v>736772</v>
      </c>
      <c r="C10" t="s">
        <v>25</v>
      </c>
      <c r="D10">
        <v>6022</v>
      </c>
      <c r="E10">
        <v>1231</v>
      </c>
      <c r="F10" t="s">
        <v>9</v>
      </c>
      <c r="G10">
        <v>20251231</v>
      </c>
    </row>
    <row r="11" spans="1:7" x14ac:dyDescent="0.25">
      <c r="A11" t="s">
        <v>26</v>
      </c>
      <c r="B11">
        <v>737875</v>
      </c>
      <c r="C11" t="s">
        <v>27</v>
      </c>
      <c r="D11">
        <v>6022</v>
      </c>
      <c r="E11">
        <v>1231</v>
      </c>
      <c r="F11" t="s">
        <v>9</v>
      </c>
      <c r="G11">
        <v>20251231</v>
      </c>
    </row>
    <row r="12" spans="1:7" x14ac:dyDescent="0.25">
      <c r="A12" t="s">
        <v>28</v>
      </c>
      <c r="B12">
        <v>750686</v>
      </c>
      <c r="C12" t="s">
        <v>29</v>
      </c>
      <c r="D12">
        <v>6021</v>
      </c>
      <c r="E12">
        <v>1231</v>
      </c>
      <c r="F12" t="s">
        <v>9</v>
      </c>
      <c r="G12">
        <v>20251231</v>
      </c>
    </row>
    <row r="13" spans="1:7" x14ac:dyDescent="0.25">
      <c r="A13" t="s">
        <v>30</v>
      </c>
      <c r="B13">
        <v>765207</v>
      </c>
      <c r="C13" t="s">
        <v>31</v>
      </c>
      <c r="D13">
        <v>6021</v>
      </c>
      <c r="E13">
        <v>1231</v>
      </c>
      <c r="F13" t="s">
        <v>9</v>
      </c>
      <c r="G13">
        <v>20251231</v>
      </c>
    </row>
    <row r="14" spans="1:7" x14ac:dyDescent="0.25">
      <c r="A14" t="s">
        <v>32</v>
      </c>
      <c r="B14">
        <v>775215</v>
      </c>
      <c r="C14" t="s">
        <v>33</v>
      </c>
      <c r="D14">
        <v>6022</v>
      </c>
      <c r="E14">
        <v>1231</v>
      </c>
      <c r="F14" t="s">
        <v>9</v>
      </c>
      <c r="G14">
        <v>20251231</v>
      </c>
    </row>
    <row r="15" spans="1:7" x14ac:dyDescent="0.25">
      <c r="A15" t="s">
        <v>34</v>
      </c>
      <c r="B15">
        <v>842517</v>
      </c>
      <c r="C15" t="s">
        <v>35</v>
      </c>
      <c r="D15">
        <v>6022</v>
      </c>
      <c r="E15">
        <v>1231</v>
      </c>
      <c r="F15" t="s">
        <v>9</v>
      </c>
      <c r="G15">
        <v>20251231</v>
      </c>
    </row>
    <row r="16" spans="1:7" x14ac:dyDescent="0.25">
      <c r="A16" t="s">
        <v>36</v>
      </c>
      <c r="B16">
        <v>879635</v>
      </c>
      <c r="C16" t="s">
        <v>37</v>
      </c>
      <c r="D16">
        <v>6022</v>
      </c>
      <c r="E16">
        <v>1231</v>
      </c>
      <c r="F16" t="s">
        <v>9</v>
      </c>
      <c r="G16">
        <v>20251231</v>
      </c>
    </row>
    <row r="17" spans="1:7" x14ac:dyDescent="0.25">
      <c r="A17" t="s">
        <v>38</v>
      </c>
      <c r="B17">
        <v>880641</v>
      </c>
      <c r="C17" t="s">
        <v>39</v>
      </c>
      <c r="D17">
        <v>6022</v>
      </c>
      <c r="E17">
        <v>1231</v>
      </c>
      <c r="F17" t="s">
        <v>9</v>
      </c>
      <c r="G17">
        <v>20251231</v>
      </c>
    </row>
    <row r="18" spans="1:7" x14ac:dyDescent="0.25">
      <c r="A18" t="s">
        <v>40</v>
      </c>
      <c r="B18">
        <v>893847</v>
      </c>
      <c r="C18" t="s">
        <v>41</v>
      </c>
      <c r="D18">
        <v>6021</v>
      </c>
      <c r="E18">
        <v>1231</v>
      </c>
      <c r="F18" t="s">
        <v>9</v>
      </c>
      <c r="G18">
        <v>20251231</v>
      </c>
    </row>
    <row r="19" spans="1:7" x14ac:dyDescent="0.25">
      <c r="A19" t="s">
        <v>42</v>
      </c>
      <c r="B19">
        <v>913341</v>
      </c>
      <c r="C19" t="s">
        <v>43</v>
      </c>
      <c r="D19">
        <v>6022</v>
      </c>
      <c r="E19">
        <v>1231</v>
      </c>
      <c r="F19" t="s">
        <v>9</v>
      </c>
      <c r="G19">
        <v>20251231</v>
      </c>
    </row>
    <row r="20" spans="1:7" x14ac:dyDescent="0.25">
      <c r="A20" t="s">
        <v>44</v>
      </c>
      <c r="B20">
        <v>920427</v>
      </c>
      <c r="C20" t="s">
        <v>45</v>
      </c>
      <c r="D20">
        <v>6022</v>
      </c>
      <c r="E20">
        <v>1231</v>
      </c>
      <c r="F20" t="s">
        <v>9</v>
      </c>
      <c r="G20">
        <v>20251231</v>
      </c>
    </row>
    <row r="21" spans="1:7" x14ac:dyDescent="0.25">
      <c r="A21" t="s">
        <v>46</v>
      </c>
      <c r="B21">
        <v>1013272</v>
      </c>
      <c r="C21" t="s">
        <v>47</v>
      </c>
      <c r="D21">
        <v>6022</v>
      </c>
      <c r="E21">
        <v>1231</v>
      </c>
      <c r="F21" t="s">
        <v>9</v>
      </c>
      <c r="G21">
        <v>20251231</v>
      </c>
    </row>
    <row r="22" spans="1:7" x14ac:dyDescent="0.25">
      <c r="A22" t="s">
        <v>48</v>
      </c>
      <c r="B22">
        <v>1050441</v>
      </c>
      <c r="C22" t="s">
        <v>49</v>
      </c>
      <c r="D22">
        <v>6022</v>
      </c>
      <c r="E22">
        <v>1231</v>
      </c>
      <c r="F22" t="s">
        <v>9</v>
      </c>
      <c r="G22">
        <v>20251231</v>
      </c>
    </row>
    <row r="23" spans="1:7" x14ac:dyDescent="0.25">
      <c r="A23" t="s">
        <v>50</v>
      </c>
      <c r="B23">
        <v>1071236</v>
      </c>
      <c r="C23" t="s">
        <v>51</v>
      </c>
      <c r="D23">
        <v>6022</v>
      </c>
      <c r="E23">
        <v>1231</v>
      </c>
      <c r="F23" t="s">
        <v>9</v>
      </c>
      <c r="G23">
        <v>20251231</v>
      </c>
    </row>
    <row r="24" spans="1:7" x14ac:dyDescent="0.25">
      <c r="A24" t="s">
        <v>52</v>
      </c>
      <c r="B24">
        <v>921557</v>
      </c>
      <c r="C24" t="s">
        <v>53</v>
      </c>
      <c r="D24">
        <v>6022</v>
      </c>
      <c r="E24">
        <v>1231</v>
      </c>
      <c r="F24" t="s">
        <v>9</v>
      </c>
      <c r="G24">
        <v>20251231</v>
      </c>
    </row>
    <row r="25" spans="1:7" x14ac:dyDescent="0.25">
      <c r="A25" t="s">
        <v>54</v>
      </c>
      <c r="B25">
        <v>810958</v>
      </c>
      <c r="C25" t="s">
        <v>55</v>
      </c>
      <c r="D25">
        <v>6022</v>
      </c>
      <c r="E25">
        <v>1231</v>
      </c>
      <c r="F25" t="s">
        <v>9</v>
      </c>
      <c r="G25">
        <v>20251231</v>
      </c>
    </row>
    <row r="26" spans="1:7" x14ac:dyDescent="0.25">
      <c r="A26" t="s">
        <v>56</v>
      </c>
      <c r="B26">
        <v>923139</v>
      </c>
      <c r="C26" t="s">
        <v>57</v>
      </c>
      <c r="D26">
        <v>6022</v>
      </c>
      <c r="E26">
        <v>1231</v>
      </c>
      <c r="F26" t="s">
        <v>9</v>
      </c>
      <c r="G26">
        <v>20251231</v>
      </c>
    </row>
    <row r="27" spans="1:7" x14ac:dyDescent="0.25">
      <c r="A27" t="s">
        <v>58</v>
      </c>
      <c r="B27">
        <v>854560</v>
      </c>
      <c r="C27" t="s">
        <v>59</v>
      </c>
      <c r="D27">
        <v>6022</v>
      </c>
      <c r="E27">
        <v>1231</v>
      </c>
      <c r="F27" t="s">
        <v>9</v>
      </c>
      <c r="G27">
        <v>20251231</v>
      </c>
    </row>
    <row r="28" spans="1:7" x14ac:dyDescent="0.25">
      <c r="A28" t="s">
        <v>60</v>
      </c>
      <c r="B28">
        <v>763907</v>
      </c>
      <c r="C28" t="s">
        <v>61</v>
      </c>
      <c r="D28">
        <v>6021</v>
      </c>
      <c r="E28">
        <v>1231</v>
      </c>
      <c r="F28" t="s">
        <v>9</v>
      </c>
      <c r="G28">
        <v>20251231</v>
      </c>
    </row>
    <row r="29" spans="1:7" x14ac:dyDescent="0.25">
      <c r="A29" t="s">
        <v>62</v>
      </c>
      <c r="B29">
        <v>743367</v>
      </c>
      <c r="C29" t="s">
        <v>63</v>
      </c>
      <c r="D29">
        <v>6022</v>
      </c>
      <c r="E29">
        <v>1231</v>
      </c>
      <c r="F29" t="s">
        <v>9</v>
      </c>
      <c r="G29">
        <v>20251231</v>
      </c>
    </row>
    <row r="30" spans="1:7" x14ac:dyDescent="0.25">
      <c r="A30" t="s">
        <v>64</v>
      </c>
      <c r="B30">
        <v>1710482</v>
      </c>
      <c r="C30" t="s">
        <v>65</v>
      </c>
      <c r="D30">
        <v>6022</v>
      </c>
      <c r="E30">
        <v>1231</v>
      </c>
      <c r="F30" t="s">
        <v>9</v>
      </c>
      <c r="G30">
        <v>20251231</v>
      </c>
    </row>
    <row r="31" spans="1:7" x14ac:dyDescent="0.25">
      <c r="A31" t="s">
        <v>66</v>
      </c>
      <c r="B31">
        <v>1828588</v>
      </c>
      <c r="C31" t="s">
        <v>67</v>
      </c>
      <c r="D31">
        <v>6022</v>
      </c>
      <c r="E31">
        <v>1231</v>
      </c>
      <c r="F31" t="s">
        <v>9</v>
      </c>
      <c r="G31">
        <v>20251231</v>
      </c>
    </row>
    <row r="32" spans="1:7" x14ac:dyDescent="0.25">
      <c r="A32" t="s">
        <v>68</v>
      </c>
      <c r="B32">
        <v>1056943</v>
      </c>
      <c r="C32" t="s">
        <v>69</v>
      </c>
      <c r="D32">
        <v>6021</v>
      </c>
      <c r="E32">
        <v>1231</v>
      </c>
      <c r="F32" t="s">
        <v>9</v>
      </c>
      <c r="G32">
        <v>20251231</v>
      </c>
    </row>
    <row r="33" spans="1:7" x14ac:dyDescent="0.25">
      <c r="A33" t="s">
        <v>70</v>
      </c>
      <c r="B33">
        <v>1754226</v>
      </c>
      <c r="C33" t="s">
        <v>71</v>
      </c>
      <c r="D33">
        <v>6022</v>
      </c>
      <c r="E33">
        <v>1231</v>
      </c>
      <c r="F33" t="s">
        <v>9</v>
      </c>
      <c r="G33">
        <v>20251231</v>
      </c>
    </row>
    <row r="34" spans="1:7" x14ac:dyDescent="0.25">
      <c r="A34" t="s">
        <v>72</v>
      </c>
      <c r="B34">
        <v>1413837</v>
      </c>
      <c r="C34" t="s">
        <v>73</v>
      </c>
      <c r="D34">
        <v>6022</v>
      </c>
      <c r="E34">
        <v>1231</v>
      </c>
      <c r="F34" t="s">
        <v>9</v>
      </c>
      <c r="G34">
        <v>20251231</v>
      </c>
    </row>
    <row r="35" spans="1:7" x14ac:dyDescent="0.25">
      <c r="A35" t="s">
        <v>74</v>
      </c>
      <c r="B35">
        <v>1038773</v>
      </c>
      <c r="C35" t="s">
        <v>75</v>
      </c>
      <c r="D35">
        <v>6021</v>
      </c>
      <c r="E35">
        <v>1231</v>
      </c>
      <c r="F35" t="s">
        <v>9</v>
      </c>
      <c r="G35">
        <v>20251231</v>
      </c>
    </row>
    <row r="36" spans="1:7" x14ac:dyDescent="0.25">
      <c r="A36" t="s">
        <v>76</v>
      </c>
      <c r="B36">
        <v>1325670</v>
      </c>
      <c r="C36" t="s">
        <v>77</v>
      </c>
      <c r="D36">
        <v>6022</v>
      </c>
      <c r="E36">
        <v>1231</v>
      </c>
      <c r="F36" t="s">
        <v>9</v>
      </c>
      <c r="G36">
        <v>20251231</v>
      </c>
    </row>
    <row r="37" spans="1:7" x14ac:dyDescent="0.25">
      <c r="A37" t="s">
        <v>78</v>
      </c>
      <c r="B37">
        <v>770460</v>
      </c>
      <c r="C37" t="s">
        <v>79</v>
      </c>
      <c r="D37">
        <v>6022</v>
      </c>
      <c r="E37">
        <v>1231</v>
      </c>
      <c r="F37" t="s">
        <v>9</v>
      </c>
      <c r="G37">
        <v>20251231</v>
      </c>
    </row>
    <row r="38" spans="1:7" x14ac:dyDescent="0.25">
      <c r="A38" t="s">
        <v>80</v>
      </c>
      <c r="B38">
        <v>731653</v>
      </c>
      <c r="C38" t="s">
        <v>81</v>
      </c>
      <c r="D38">
        <v>6022</v>
      </c>
      <c r="E38">
        <v>1231</v>
      </c>
      <c r="F38" t="s">
        <v>9</v>
      </c>
      <c r="G38">
        <v>20251231</v>
      </c>
    </row>
    <row r="39" spans="1:7" x14ac:dyDescent="0.25">
      <c r="A39" t="s">
        <v>82</v>
      </c>
      <c r="B39">
        <v>707605</v>
      </c>
      <c r="C39" t="s">
        <v>83</v>
      </c>
      <c r="D39">
        <v>6021</v>
      </c>
      <c r="E39">
        <v>1231</v>
      </c>
      <c r="F39" t="s">
        <v>9</v>
      </c>
      <c r="G39">
        <v>20251231</v>
      </c>
    </row>
    <row r="40" spans="1:7" x14ac:dyDescent="0.25">
      <c r="A40" t="s">
        <v>84</v>
      </c>
      <c r="B40">
        <v>714712</v>
      </c>
      <c r="C40" t="s">
        <v>85</v>
      </c>
      <c r="D40">
        <v>6022</v>
      </c>
      <c r="E40">
        <v>1231</v>
      </c>
      <c r="F40" t="s">
        <v>9</v>
      </c>
      <c r="G40">
        <v>20251231</v>
      </c>
    </row>
    <row r="41" spans="1:7" x14ac:dyDescent="0.25">
      <c r="A41" t="s">
        <v>86</v>
      </c>
      <c r="B41">
        <v>2072421</v>
      </c>
      <c r="C41" t="s">
        <v>87</v>
      </c>
      <c r="D41">
        <v>6021</v>
      </c>
      <c r="E41">
        <v>1231</v>
      </c>
      <c r="F41" t="s">
        <v>9</v>
      </c>
      <c r="G41">
        <v>20251231</v>
      </c>
    </row>
    <row r="42" spans="1:7" x14ac:dyDescent="0.25">
      <c r="A42" t="s">
        <v>88</v>
      </c>
      <c r="B42">
        <v>1137547</v>
      </c>
      <c r="C42" t="s">
        <v>89</v>
      </c>
      <c r="D42">
        <v>6021</v>
      </c>
      <c r="E42">
        <v>1231</v>
      </c>
      <c r="F42" t="s">
        <v>9</v>
      </c>
      <c r="G42">
        <v>20251231</v>
      </c>
    </row>
    <row r="43" spans="1:7" x14ac:dyDescent="0.25">
      <c r="A43" t="s">
        <v>90</v>
      </c>
      <c r="B43">
        <v>1163668</v>
      </c>
      <c r="C43" t="s">
        <v>91</v>
      </c>
      <c r="D43">
        <v>6022</v>
      </c>
      <c r="E43">
        <v>1231</v>
      </c>
      <c r="F43" t="s">
        <v>9</v>
      </c>
      <c r="G43">
        <v>20251231</v>
      </c>
    </row>
    <row r="44" spans="1:7" x14ac:dyDescent="0.25">
      <c r="A44" t="s">
        <v>92</v>
      </c>
      <c r="B44">
        <v>739421</v>
      </c>
      <c r="C44" t="s">
        <v>93</v>
      </c>
      <c r="D44">
        <v>6022</v>
      </c>
      <c r="E44">
        <v>1231</v>
      </c>
      <c r="F44" t="s">
        <v>9</v>
      </c>
      <c r="G44">
        <v>20251231</v>
      </c>
    </row>
    <row r="45" spans="1:7" x14ac:dyDescent="0.25">
      <c r="A45" t="s">
        <v>94</v>
      </c>
      <c r="B45">
        <v>894671</v>
      </c>
      <c r="C45" t="s">
        <v>95</v>
      </c>
      <c r="D45">
        <v>6022</v>
      </c>
      <c r="E45">
        <v>1231</v>
      </c>
      <c r="F45" t="s">
        <v>9</v>
      </c>
      <c r="G45">
        <v>20251231</v>
      </c>
    </row>
    <row r="46" spans="1:7" x14ac:dyDescent="0.25">
      <c r="A46" t="s">
        <v>96</v>
      </c>
      <c r="B46">
        <v>1085913</v>
      </c>
      <c r="C46" t="s">
        <v>97</v>
      </c>
      <c r="D46">
        <v>6021</v>
      </c>
      <c r="E46">
        <v>1231</v>
      </c>
      <c r="F46" t="s">
        <v>9</v>
      </c>
      <c r="G46">
        <v>20251231</v>
      </c>
    </row>
    <row r="47" spans="1:7" x14ac:dyDescent="0.25">
      <c r="A47" t="s">
        <v>98</v>
      </c>
      <c r="B47">
        <v>357301</v>
      </c>
      <c r="C47" t="s">
        <v>99</v>
      </c>
      <c r="D47">
        <v>6022</v>
      </c>
      <c r="E47">
        <v>1231</v>
      </c>
      <c r="F47" t="s">
        <v>9</v>
      </c>
      <c r="G47">
        <v>20251231</v>
      </c>
    </row>
    <row r="48" spans="1:7" x14ac:dyDescent="0.25">
      <c r="A48" t="s">
        <v>100</v>
      </c>
      <c r="B48">
        <v>1746129</v>
      </c>
      <c r="C48" t="s">
        <v>101</v>
      </c>
      <c r="D48">
        <v>6022</v>
      </c>
      <c r="E48">
        <v>1231</v>
      </c>
      <c r="F48" t="s">
        <v>9</v>
      </c>
      <c r="G48">
        <v>20251231</v>
      </c>
    </row>
    <row r="49" spans="1:7" x14ac:dyDescent="0.25">
      <c r="A49" t="s">
        <v>102</v>
      </c>
      <c r="B49">
        <v>731122</v>
      </c>
      <c r="C49" t="s">
        <v>103</v>
      </c>
      <c r="D49">
        <v>6022</v>
      </c>
      <c r="E49">
        <v>1231</v>
      </c>
      <c r="F49" t="s">
        <v>9</v>
      </c>
      <c r="G49">
        <v>20251231</v>
      </c>
    </row>
    <row r="50" spans="1:7" x14ac:dyDescent="0.25">
      <c r="A50" t="s">
        <v>104</v>
      </c>
      <c r="B50">
        <v>1437479</v>
      </c>
      <c r="C50" t="s">
        <v>105</v>
      </c>
      <c r="D50">
        <v>6021</v>
      </c>
      <c r="E50">
        <v>1231</v>
      </c>
      <c r="F50" t="s">
        <v>9</v>
      </c>
      <c r="G50">
        <v>20251231</v>
      </c>
    </row>
    <row r="51" spans="1:7" x14ac:dyDescent="0.25">
      <c r="A51" t="s">
        <v>106</v>
      </c>
      <c r="B51">
        <v>763901</v>
      </c>
      <c r="C51" t="s">
        <v>107</v>
      </c>
      <c r="D51">
        <v>6022</v>
      </c>
      <c r="E51">
        <v>1231</v>
      </c>
      <c r="F51" t="s">
        <v>9</v>
      </c>
      <c r="G51">
        <v>20251231</v>
      </c>
    </row>
    <row r="52" spans="1:7" x14ac:dyDescent="0.25">
      <c r="A52" t="s">
        <v>108</v>
      </c>
      <c r="B52">
        <v>898171</v>
      </c>
      <c r="C52" t="s">
        <v>109</v>
      </c>
      <c r="D52">
        <v>6022</v>
      </c>
      <c r="E52">
        <v>1231</v>
      </c>
      <c r="F52" t="s">
        <v>9</v>
      </c>
      <c r="G52">
        <v>20251231</v>
      </c>
    </row>
    <row r="53" spans="1:7" x14ac:dyDescent="0.25">
      <c r="A53" t="s">
        <v>110</v>
      </c>
      <c r="B53">
        <v>1227500</v>
      </c>
      <c r="C53" t="s">
        <v>111</v>
      </c>
      <c r="D53">
        <v>6022</v>
      </c>
      <c r="E53">
        <v>1231</v>
      </c>
      <c r="F53" t="s">
        <v>9</v>
      </c>
      <c r="G53">
        <v>20251231</v>
      </c>
    </row>
    <row r="54" spans="1:7" x14ac:dyDescent="0.25">
      <c r="A54" t="s">
        <v>112</v>
      </c>
      <c r="B54">
        <v>944745</v>
      </c>
      <c r="C54" t="s">
        <v>113</v>
      </c>
      <c r="D54">
        <v>6022</v>
      </c>
      <c r="E54">
        <v>1231</v>
      </c>
      <c r="F54" t="s">
        <v>9</v>
      </c>
      <c r="G54">
        <v>20251231</v>
      </c>
    </row>
    <row r="55" spans="1:7" x14ac:dyDescent="0.25">
      <c r="A55" t="s">
        <v>114</v>
      </c>
      <c r="B55">
        <v>1118004</v>
      </c>
      <c r="C55" t="s">
        <v>115</v>
      </c>
      <c r="D55">
        <v>6022</v>
      </c>
      <c r="E55">
        <v>1231</v>
      </c>
      <c r="F55" t="s">
        <v>9</v>
      </c>
      <c r="G55">
        <v>20251231</v>
      </c>
    </row>
    <row r="56" spans="1:7" x14ac:dyDescent="0.25">
      <c r="A56" t="s">
        <v>116</v>
      </c>
      <c r="B56">
        <v>862831</v>
      </c>
      <c r="C56" t="s">
        <v>117</v>
      </c>
      <c r="D56">
        <v>6021</v>
      </c>
      <c r="E56">
        <v>1231</v>
      </c>
      <c r="F56" t="s">
        <v>9</v>
      </c>
      <c r="G56">
        <v>20251231</v>
      </c>
    </row>
    <row r="57" spans="1:7" x14ac:dyDescent="0.25">
      <c r="A57" t="s">
        <v>118</v>
      </c>
      <c r="B57">
        <v>1641601</v>
      </c>
      <c r="C57" t="s">
        <v>119</v>
      </c>
      <c r="D57">
        <v>6022</v>
      </c>
      <c r="E57">
        <v>1231</v>
      </c>
      <c r="F57" t="s">
        <v>9</v>
      </c>
      <c r="G57">
        <v>20251231</v>
      </c>
    </row>
    <row r="58" spans="1:7" x14ac:dyDescent="0.25">
      <c r="A58" t="s">
        <v>120</v>
      </c>
      <c r="B58">
        <v>717806</v>
      </c>
      <c r="C58" t="s">
        <v>121</v>
      </c>
      <c r="D58">
        <v>6022</v>
      </c>
      <c r="E58">
        <v>1231</v>
      </c>
      <c r="F58" t="s">
        <v>9</v>
      </c>
      <c r="G58">
        <v>20251231</v>
      </c>
    </row>
    <row r="59" spans="1:7" x14ac:dyDescent="0.25">
      <c r="A59" t="s">
        <v>122</v>
      </c>
      <c r="B59">
        <v>1070680</v>
      </c>
      <c r="C59" t="s">
        <v>123</v>
      </c>
      <c r="D59">
        <v>6021</v>
      </c>
      <c r="E59">
        <v>1231</v>
      </c>
      <c r="F59" t="s">
        <v>9</v>
      </c>
      <c r="G59">
        <v>20251231</v>
      </c>
    </row>
    <row r="60" spans="1:7" x14ac:dyDescent="0.25">
      <c r="A60" t="s">
        <v>124</v>
      </c>
      <c r="B60">
        <v>1297107</v>
      </c>
      <c r="C60" t="s">
        <v>125</v>
      </c>
      <c r="D60">
        <v>6022</v>
      </c>
      <c r="E60">
        <v>1231</v>
      </c>
      <c r="F60" t="s">
        <v>9</v>
      </c>
      <c r="G60">
        <v>20251231</v>
      </c>
    </row>
    <row r="61" spans="1:7" x14ac:dyDescent="0.25">
      <c r="A61" t="s">
        <v>126</v>
      </c>
      <c r="B61">
        <v>1756701</v>
      </c>
      <c r="C61" t="s">
        <v>127</v>
      </c>
      <c r="D61">
        <v>6022</v>
      </c>
      <c r="E61">
        <v>1231</v>
      </c>
      <c r="F61" t="s">
        <v>9</v>
      </c>
      <c r="G61">
        <v>20251231</v>
      </c>
    </row>
    <row r="62" spans="1:7" x14ac:dyDescent="0.25">
      <c r="A62" t="s">
        <v>128</v>
      </c>
      <c r="B62">
        <v>842717</v>
      </c>
      <c r="C62" t="s">
        <v>129</v>
      </c>
      <c r="D62">
        <v>6022</v>
      </c>
      <c r="E62">
        <v>1231</v>
      </c>
      <c r="F62" t="s">
        <v>9</v>
      </c>
      <c r="G62">
        <v>20251231</v>
      </c>
    </row>
    <row r="63" spans="1:7" x14ac:dyDescent="0.25">
      <c r="A63" t="s">
        <v>130</v>
      </c>
      <c r="B63">
        <v>803164</v>
      </c>
      <c r="C63" t="s">
        <v>131</v>
      </c>
      <c r="D63">
        <v>6022</v>
      </c>
      <c r="E63">
        <v>1231</v>
      </c>
      <c r="F63" t="s">
        <v>9</v>
      </c>
      <c r="G63">
        <v>20251231</v>
      </c>
    </row>
    <row r="64" spans="1:7" x14ac:dyDescent="0.25">
      <c r="A64" t="s">
        <v>132</v>
      </c>
      <c r="B64">
        <v>1913971</v>
      </c>
      <c r="C64" t="s">
        <v>133</v>
      </c>
      <c r="D64">
        <v>6022</v>
      </c>
      <c r="E64">
        <v>1231</v>
      </c>
      <c r="F64" t="s">
        <v>9</v>
      </c>
      <c r="G64">
        <v>20251231</v>
      </c>
    </row>
    <row r="65" spans="1:7" x14ac:dyDescent="0.25">
      <c r="A65" t="s">
        <v>134</v>
      </c>
      <c r="B65">
        <v>750558</v>
      </c>
      <c r="C65" t="s">
        <v>135</v>
      </c>
      <c r="D65">
        <v>6022</v>
      </c>
      <c r="E65">
        <v>1231</v>
      </c>
      <c r="F65" t="s">
        <v>9</v>
      </c>
      <c r="G65">
        <v>20251231</v>
      </c>
    </row>
    <row r="66" spans="1:7" x14ac:dyDescent="0.25">
      <c r="A66" t="s">
        <v>136</v>
      </c>
      <c r="B66">
        <v>880417</v>
      </c>
      <c r="C66" t="s">
        <v>137</v>
      </c>
      <c r="D66">
        <v>6022</v>
      </c>
      <c r="E66">
        <v>1231</v>
      </c>
      <c r="F66" t="s">
        <v>9</v>
      </c>
      <c r="G66">
        <v>20251231</v>
      </c>
    </row>
    <row r="67" spans="1:7" x14ac:dyDescent="0.25">
      <c r="A67" t="s">
        <v>138</v>
      </c>
      <c r="B67">
        <v>750574</v>
      </c>
      <c r="C67" t="s">
        <v>139</v>
      </c>
      <c r="D67">
        <v>6022</v>
      </c>
      <c r="E67">
        <v>1231</v>
      </c>
      <c r="F67" t="s">
        <v>9</v>
      </c>
      <c r="G67">
        <v>20251231</v>
      </c>
    </row>
    <row r="68" spans="1:7" x14ac:dyDescent="0.25">
      <c r="A68" t="s">
        <v>140</v>
      </c>
      <c r="B68">
        <v>796534</v>
      </c>
      <c r="C68" t="s">
        <v>141</v>
      </c>
      <c r="D68">
        <v>6021</v>
      </c>
      <c r="E68">
        <v>1231</v>
      </c>
      <c r="F68" t="s">
        <v>9</v>
      </c>
      <c r="G68">
        <v>20251231</v>
      </c>
    </row>
    <row r="69" spans="1:7" x14ac:dyDescent="0.25">
      <c r="A69" t="s">
        <v>142</v>
      </c>
      <c r="B69">
        <v>1572334</v>
      </c>
      <c r="C69" t="s">
        <v>143</v>
      </c>
      <c r="D69">
        <v>6021</v>
      </c>
      <c r="E69">
        <v>1231</v>
      </c>
      <c r="F69" t="s">
        <v>9</v>
      </c>
      <c r="G69">
        <v>20251231</v>
      </c>
    </row>
    <row r="70" spans="1:7" x14ac:dyDescent="0.25">
      <c r="A70" t="s">
        <v>144</v>
      </c>
      <c r="B70">
        <v>1791145</v>
      </c>
      <c r="C70" t="s">
        <v>145</v>
      </c>
      <c r="D70">
        <v>6022</v>
      </c>
      <c r="E70">
        <v>1231</v>
      </c>
      <c r="F70" t="s">
        <v>9</v>
      </c>
      <c r="G70">
        <v>20251231</v>
      </c>
    </row>
    <row r="71" spans="1:7" x14ac:dyDescent="0.25">
      <c r="A71" t="s">
        <v>146</v>
      </c>
      <c r="B71">
        <v>1609065</v>
      </c>
      <c r="C71" t="s">
        <v>147</v>
      </c>
      <c r="D71">
        <v>6022</v>
      </c>
      <c r="E71">
        <v>1231</v>
      </c>
      <c r="F71" t="s">
        <v>9</v>
      </c>
      <c r="G71">
        <v>20251231</v>
      </c>
    </row>
    <row r="72" spans="1:7" x14ac:dyDescent="0.25">
      <c r="A72" t="s">
        <v>148</v>
      </c>
      <c r="B72">
        <v>767405</v>
      </c>
      <c r="C72" t="s">
        <v>149</v>
      </c>
      <c r="D72">
        <v>6022</v>
      </c>
      <c r="E72">
        <v>1231</v>
      </c>
      <c r="F72" t="s">
        <v>9</v>
      </c>
      <c r="G72">
        <v>20251231</v>
      </c>
    </row>
    <row r="73" spans="1:7" x14ac:dyDescent="0.25">
      <c r="A73" t="s">
        <v>150</v>
      </c>
      <c r="B73">
        <v>1981546</v>
      </c>
      <c r="C73" t="s">
        <v>151</v>
      </c>
      <c r="D73">
        <v>6022</v>
      </c>
      <c r="E73">
        <v>1231</v>
      </c>
      <c r="F73" t="s">
        <v>9</v>
      </c>
      <c r="G73">
        <v>20251231</v>
      </c>
    </row>
    <row r="74" spans="1:7" x14ac:dyDescent="0.25">
      <c r="A74" t="s">
        <v>152</v>
      </c>
      <c r="B74">
        <v>1275101</v>
      </c>
      <c r="C74" t="s">
        <v>153</v>
      </c>
      <c r="D74">
        <v>6022</v>
      </c>
      <c r="E74">
        <v>1231</v>
      </c>
      <c r="F74" t="s">
        <v>9</v>
      </c>
      <c r="G74">
        <v>20251231</v>
      </c>
    </row>
    <row r="75" spans="1:7" x14ac:dyDescent="0.25">
      <c r="A75" t="s">
        <v>154</v>
      </c>
      <c r="B75">
        <v>1277902</v>
      </c>
      <c r="C75" t="s">
        <v>155</v>
      </c>
      <c r="D75">
        <v>6022</v>
      </c>
      <c r="E75">
        <v>1231</v>
      </c>
      <c r="F75" t="s">
        <v>9</v>
      </c>
      <c r="G75">
        <v>20251231</v>
      </c>
    </row>
    <row r="76" spans="1:7" x14ac:dyDescent="0.25">
      <c r="A76" t="s">
        <v>156</v>
      </c>
      <c r="B76">
        <v>1336706</v>
      </c>
      <c r="C76" t="s">
        <v>157</v>
      </c>
      <c r="D76">
        <v>6022</v>
      </c>
      <c r="E76">
        <v>1231</v>
      </c>
      <c r="F76" t="s">
        <v>9</v>
      </c>
      <c r="G76">
        <v>20251231</v>
      </c>
    </row>
    <row r="77" spans="1:7" x14ac:dyDescent="0.25">
      <c r="A77" t="s">
        <v>158</v>
      </c>
      <c r="B77">
        <v>1403475</v>
      </c>
      <c r="C77" t="s">
        <v>159</v>
      </c>
      <c r="D77">
        <v>6022</v>
      </c>
      <c r="E77">
        <v>1231</v>
      </c>
      <c r="F77" t="s">
        <v>9</v>
      </c>
      <c r="G77">
        <v>20251231</v>
      </c>
    </row>
    <row r="78" spans="1:7" x14ac:dyDescent="0.25">
      <c r="A78" t="s">
        <v>160</v>
      </c>
      <c r="B78">
        <v>1419536</v>
      </c>
      <c r="C78" t="s">
        <v>161</v>
      </c>
      <c r="D78">
        <v>6021</v>
      </c>
      <c r="E78">
        <v>1231</v>
      </c>
      <c r="F78" t="s">
        <v>9</v>
      </c>
      <c r="G78">
        <v>20251231</v>
      </c>
    </row>
    <row r="79" spans="1:7" x14ac:dyDescent="0.25">
      <c r="A79" t="s">
        <v>162</v>
      </c>
      <c r="B79">
        <v>1423869</v>
      </c>
      <c r="C79" t="s">
        <v>163</v>
      </c>
      <c r="D79">
        <v>6022</v>
      </c>
      <c r="E79">
        <v>1231</v>
      </c>
      <c r="F79" t="s">
        <v>9</v>
      </c>
      <c r="G79">
        <v>20251231</v>
      </c>
    </row>
    <row r="80" spans="1:7" x14ac:dyDescent="0.25">
      <c r="A80" t="s">
        <v>164</v>
      </c>
      <c r="B80">
        <v>861842</v>
      </c>
      <c r="C80" t="s">
        <v>165</v>
      </c>
      <c r="D80">
        <v>6022</v>
      </c>
      <c r="E80">
        <v>1231</v>
      </c>
      <c r="F80" t="s">
        <v>9</v>
      </c>
      <c r="G80">
        <v>20251231</v>
      </c>
    </row>
    <row r="81" spans="1:7" x14ac:dyDescent="0.25">
      <c r="A81" t="s">
        <v>166</v>
      </c>
      <c r="B81">
        <v>903419</v>
      </c>
      <c r="C81" t="s">
        <v>167</v>
      </c>
      <c r="D81">
        <v>6021</v>
      </c>
      <c r="E81">
        <v>1231</v>
      </c>
      <c r="F81" t="s">
        <v>9</v>
      </c>
      <c r="G81">
        <v>20251231</v>
      </c>
    </row>
    <row r="82" spans="1:7" x14ac:dyDescent="0.25">
      <c r="A82" t="s">
        <v>168</v>
      </c>
      <c r="B82">
        <v>709337</v>
      </c>
      <c r="C82" t="s">
        <v>169</v>
      </c>
      <c r="D82">
        <v>6022</v>
      </c>
      <c r="E82">
        <v>1231</v>
      </c>
      <c r="F82" t="s">
        <v>9</v>
      </c>
      <c r="G82">
        <v>20251231</v>
      </c>
    </row>
    <row r="83" spans="1:7" x14ac:dyDescent="0.25">
      <c r="A83" t="s">
        <v>170</v>
      </c>
      <c r="B83">
        <v>859070</v>
      </c>
      <c r="C83" t="s">
        <v>171</v>
      </c>
      <c r="D83">
        <v>6022</v>
      </c>
      <c r="E83">
        <v>1231</v>
      </c>
      <c r="F83" t="s">
        <v>9</v>
      </c>
      <c r="G83">
        <v>20251231</v>
      </c>
    </row>
    <row r="84" spans="1:7" x14ac:dyDescent="0.25">
      <c r="A84" t="s">
        <v>172</v>
      </c>
      <c r="B84">
        <v>1478454</v>
      </c>
      <c r="C84" t="s">
        <v>173</v>
      </c>
      <c r="D84">
        <v>6022</v>
      </c>
      <c r="E84">
        <v>1231</v>
      </c>
      <c r="F84" t="s">
        <v>9</v>
      </c>
      <c r="G84">
        <v>20251231</v>
      </c>
    </row>
    <row r="85" spans="1:7" x14ac:dyDescent="0.25">
      <c r="A85" t="s">
        <v>174</v>
      </c>
      <c r="B85">
        <v>1499422</v>
      </c>
      <c r="C85" t="s">
        <v>175</v>
      </c>
      <c r="D85">
        <v>6022</v>
      </c>
      <c r="E85">
        <v>1231</v>
      </c>
      <c r="F85" t="s">
        <v>9</v>
      </c>
      <c r="G85">
        <v>20251231</v>
      </c>
    </row>
    <row r="86" spans="1:7" x14ac:dyDescent="0.25">
      <c r="A86" t="s">
        <v>176</v>
      </c>
      <c r="B86">
        <v>1315399</v>
      </c>
      <c r="C86" t="s">
        <v>177</v>
      </c>
      <c r="D86">
        <v>6022</v>
      </c>
      <c r="E86">
        <v>1231</v>
      </c>
      <c r="F86" t="s">
        <v>9</v>
      </c>
      <c r="G86">
        <v>20251231</v>
      </c>
    </row>
    <row r="87" spans="1:7" x14ac:dyDescent="0.25">
      <c r="A87" t="s">
        <v>178</v>
      </c>
      <c r="B87">
        <v>1074902</v>
      </c>
      <c r="C87" t="s">
        <v>179</v>
      </c>
      <c r="D87">
        <v>6021</v>
      </c>
      <c r="E87">
        <v>1231</v>
      </c>
      <c r="F87" t="s">
        <v>9</v>
      </c>
      <c r="G87">
        <v>20251231</v>
      </c>
    </row>
    <row r="88" spans="1:7" x14ac:dyDescent="0.25">
      <c r="A88" t="s">
        <v>180</v>
      </c>
      <c r="B88">
        <v>1132651</v>
      </c>
      <c r="C88" t="s">
        <v>181</v>
      </c>
      <c r="D88">
        <v>6021</v>
      </c>
      <c r="E88">
        <v>1231</v>
      </c>
      <c r="F88" t="s">
        <v>9</v>
      </c>
      <c r="G88">
        <v>20251231</v>
      </c>
    </row>
    <row r="89" spans="1:7" x14ac:dyDescent="0.25">
      <c r="A89" t="s">
        <v>182</v>
      </c>
      <c r="B89">
        <v>1693577</v>
      </c>
      <c r="C89" t="s">
        <v>183</v>
      </c>
      <c r="D89">
        <v>6022</v>
      </c>
      <c r="E89">
        <v>1231</v>
      </c>
      <c r="F89" t="s">
        <v>9</v>
      </c>
      <c r="G89">
        <v>20251231</v>
      </c>
    </row>
    <row r="90" spans="1:7" x14ac:dyDescent="0.25">
      <c r="A90" t="s">
        <v>184</v>
      </c>
      <c r="B90">
        <v>1098151</v>
      </c>
      <c r="C90" t="s">
        <v>185</v>
      </c>
      <c r="D90">
        <v>6021</v>
      </c>
      <c r="E90">
        <v>1231</v>
      </c>
      <c r="F90" t="s">
        <v>9</v>
      </c>
      <c r="G90">
        <v>20251231</v>
      </c>
    </row>
    <row r="91" spans="1:7" x14ac:dyDescent="0.25">
      <c r="A91" t="s">
        <v>186</v>
      </c>
      <c r="B91">
        <v>1602658</v>
      </c>
      <c r="C91" t="s">
        <v>187</v>
      </c>
      <c r="D91">
        <v>6022</v>
      </c>
      <c r="E91">
        <v>1231</v>
      </c>
      <c r="F91" t="s">
        <v>9</v>
      </c>
      <c r="G91">
        <v>20251231</v>
      </c>
    </row>
    <row r="92" spans="1:7" x14ac:dyDescent="0.25">
      <c r="A92" t="s">
        <v>188</v>
      </c>
      <c r="B92">
        <v>1443575</v>
      </c>
      <c r="C92" t="s">
        <v>189</v>
      </c>
      <c r="D92">
        <v>6022</v>
      </c>
      <c r="E92">
        <v>1231</v>
      </c>
      <c r="F92" t="s">
        <v>9</v>
      </c>
      <c r="G92">
        <v>20251231</v>
      </c>
    </row>
    <row r="93" spans="1:7" x14ac:dyDescent="0.25">
      <c r="A93" t="s">
        <v>190</v>
      </c>
      <c r="B93">
        <v>1657642</v>
      </c>
      <c r="C93" t="s">
        <v>191</v>
      </c>
      <c r="D93">
        <v>6022</v>
      </c>
      <c r="E93">
        <v>1231</v>
      </c>
      <c r="F93" t="s">
        <v>9</v>
      </c>
      <c r="G93">
        <v>20251231</v>
      </c>
    </row>
    <row r="94" spans="1:7" x14ac:dyDescent="0.25">
      <c r="A94" t="s">
        <v>192</v>
      </c>
      <c r="B94">
        <v>818677</v>
      </c>
      <c r="C94" t="s">
        <v>193</v>
      </c>
      <c r="D94">
        <v>6022</v>
      </c>
      <c r="E94">
        <v>1231</v>
      </c>
      <c r="F94" t="s">
        <v>9</v>
      </c>
      <c r="G94">
        <v>20251231</v>
      </c>
    </row>
    <row r="95" spans="1:7" x14ac:dyDescent="0.25">
      <c r="A95" t="s">
        <v>194</v>
      </c>
      <c r="B95">
        <v>719402</v>
      </c>
      <c r="C95" t="s">
        <v>195</v>
      </c>
      <c r="D95">
        <v>6022</v>
      </c>
      <c r="E95">
        <v>1231</v>
      </c>
      <c r="F95" t="s">
        <v>9</v>
      </c>
      <c r="G95">
        <v>20251231</v>
      </c>
    </row>
    <row r="96" spans="1:7" x14ac:dyDescent="0.25">
      <c r="A96" t="s">
        <v>196</v>
      </c>
      <c r="B96">
        <v>1431567</v>
      </c>
      <c r="C96" t="s">
        <v>197</v>
      </c>
      <c r="D96">
        <v>6022</v>
      </c>
      <c r="E96">
        <v>1231</v>
      </c>
      <c r="F96" t="s">
        <v>9</v>
      </c>
      <c r="G96">
        <v>20251231</v>
      </c>
    </row>
    <row r="97" spans="1:7" x14ac:dyDescent="0.25">
      <c r="A97" t="s">
        <v>198</v>
      </c>
      <c r="B97">
        <v>779227</v>
      </c>
      <c r="C97" t="s">
        <v>199</v>
      </c>
      <c r="D97">
        <v>6022</v>
      </c>
      <c r="E97">
        <v>1231</v>
      </c>
      <c r="F97" t="s">
        <v>9</v>
      </c>
      <c r="G97">
        <v>20251231</v>
      </c>
    </row>
    <row r="98" spans="1:7" x14ac:dyDescent="0.25">
      <c r="A98" t="s">
        <v>200</v>
      </c>
      <c r="B98">
        <v>1449794</v>
      </c>
      <c r="C98" t="s">
        <v>201</v>
      </c>
      <c r="D98">
        <v>6022</v>
      </c>
      <c r="E98">
        <v>1231</v>
      </c>
      <c r="F98" t="s">
        <v>9</v>
      </c>
      <c r="G98">
        <v>20251231</v>
      </c>
    </row>
    <row r="99" spans="1:7" x14ac:dyDescent="0.25">
      <c r="A99" t="s">
        <v>202</v>
      </c>
      <c r="B99">
        <v>1466026</v>
      </c>
      <c r="C99" t="s">
        <v>203</v>
      </c>
      <c r="D99">
        <v>6022</v>
      </c>
      <c r="E99">
        <v>1231</v>
      </c>
      <c r="F99" t="s">
        <v>9</v>
      </c>
      <c r="G99">
        <v>20251231</v>
      </c>
    </row>
    <row r="100" spans="1:7" x14ac:dyDescent="0.25">
      <c r="A100" t="s">
        <v>204</v>
      </c>
      <c r="B100">
        <v>1725262</v>
      </c>
      <c r="C100" t="s">
        <v>205</v>
      </c>
      <c r="D100">
        <v>6022</v>
      </c>
      <c r="E100">
        <v>1231</v>
      </c>
      <c r="F100" t="s">
        <v>9</v>
      </c>
      <c r="G100">
        <v>20251231</v>
      </c>
    </row>
    <row r="101" spans="1:7" x14ac:dyDescent="0.25">
      <c r="A101" t="s">
        <v>206</v>
      </c>
      <c r="B101">
        <v>1505732</v>
      </c>
      <c r="C101" t="s">
        <v>207</v>
      </c>
      <c r="D101">
        <v>6022</v>
      </c>
      <c r="E101">
        <v>1231</v>
      </c>
      <c r="F101" t="s">
        <v>9</v>
      </c>
      <c r="G101">
        <v>20251231</v>
      </c>
    </row>
    <row r="102" spans="1:7" x14ac:dyDescent="0.25">
      <c r="A102" t="s">
        <v>208</v>
      </c>
      <c r="B102">
        <v>1518715</v>
      </c>
      <c r="C102" t="s">
        <v>209</v>
      </c>
      <c r="D102">
        <v>6022</v>
      </c>
      <c r="E102">
        <v>1231</v>
      </c>
      <c r="F102" t="s">
        <v>9</v>
      </c>
      <c r="G102">
        <v>20251231</v>
      </c>
    </row>
    <row r="103" spans="1:7" x14ac:dyDescent="0.25">
      <c r="A103" t="s">
        <v>210</v>
      </c>
      <c r="B103">
        <v>932781</v>
      </c>
      <c r="C103" t="s">
        <v>211</v>
      </c>
      <c r="D103">
        <v>6022</v>
      </c>
      <c r="E103">
        <v>1231</v>
      </c>
      <c r="F103" t="s">
        <v>9</v>
      </c>
      <c r="G103">
        <v>20251231</v>
      </c>
    </row>
    <row r="104" spans="1:7" x14ac:dyDescent="0.25">
      <c r="A104" t="s">
        <v>212</v>
      </c>
      <c r="B104">
        <v>1562463</v>
      </c>
      <c r="C104" t="s">
        <v>213</v>
      </c>
      <c r="D104">
        <v>6022</v>
      </c>
      <c r="E104">
        <v>1231</v>
      </c>
      <c r="F104" t="s">
        <v>9</v>
      </c>
      <c r="G104">
        <v>20251231</v>
      </c>
    </row>
    <row r="105" spans="1:7" x14ac:dyDescent="0.25">
      <c r="A105" t="s">
        <v>214</v>
      </c>
      <c r="B105">
        <v>1901637</v>
      </c>
      <c r="C105" t="s">
        <v>215</v>
      </c>
      <c r="D105">
        <v>6022</v>
      </c>
      <c r="E105">
        <v>1231</v>
      </c>
      <c r="F105" t="s">
        <v>9</v>
      </c>
      <c r="G105">
        <v>20251231</v>
      </c>
    </row>
    <row r="106" spans="1:7" x14ac:dyDescent="0.25">
      <c r="A106" t="s">
        <v>216</v>
      </c>
      <c r="B106">
        <v>1605301</v>
      </c>
      <c r="C106" t="s">
        <v>217</v>
      </c>
      <c r="D106">
        <v>6022</v>
      </c>
      <c r="E106">
        <v>1231</v>
      </c>
      <c r="F106" t="s">
        <v>9</v>
      </c>
      <c r="G106">
        <v>20251231</v>
      </c>
    </row>
    <row r="107" spans="1:7" x14ac:dyDescent="0.25">
      <c r="A107" t="s">
        <v>218</v>
      </c>
      <c r="B107">
        <v>1053352</v>
      </c>
      <c r="C107" t="s">
        <v>219</v>
      </c>
      <c r="D107">
        <v>6022</v>
      </c>
      <c r="E107">
        <v>1231</v>
      </c>
      <c r="F107" t="s">
        <v>9</v>
      </c>
      <c r="G107">
        <v>20251231</v>
      </c>
    </row>
    <row r="108" spans="1:7" x14ac:dyDescent="0.25">
      <c r="A108" t="s">
        <v>220</v>
      </c>
      <c r="B108">
        <v>1587987</v>
      </c>
      <c r="C108" t="s">
        <v>221</v>
      </c>
      <c r="D108">
        <v>6021</v>
      </c>
      <c r="E108">
        <v>1231</v>
      </c>
      <c r="F108" t="s">
        <v>9</v>
      </c>
      <c r="G108">
        <v>20251231</v>
      </c>
    </row>
    <row r="109" spans="1:7" x14ac:dyDescent="0.25">
      <c r="A109" t="s">
        <v>222</v>
      </c>
      <c r="B109">
        <v>1127371</v>
      </c>
      <c r="C109" t="s">
        <v>223</v>
      </c>
      <c r="D109">
        <v>6022</v>
      </c>
      <c r="E109">
        <v>1231</v>
      </c>
      <c r="F109" t="s">
        <v>9</v>
      </c>
      <c r="G109">
        <v>20251231</v>
      </c>
    </row>
    <row r="110" spans="1:7" x14ac:dyDescent="0.25">
      <c r="A110" t="s">
        <v>224</v>
      </c>
      <c r="B110">
        <v>715579</v>
      </c>
      <c r="C110" t="s">
        <v>225</v>
      </c>
      <c r="D110">
        <v>6022</v>
      </c>
      <c r="E110">
        <v>1231</v>
      </c>
      <c r="F110" t="s">
        <v>9</v>
      </c>
      <c r="G110">
        <v>20251231</v>
      </c>
    </row>
    <row r="111" spans="1:7" x14ac:dyDescent="0.25">
      <c r="A111" t="s">
        <v>226</v>
      </c>
      <c r="B111">
        <v>826154</v>
      </c>
      <c r="C111" t="s">
        <v>227</v>
      </c>
      <c r="D111">
        <v>6022</v>
      </c>
      <c r="E111">
        <v>1231</v>
      </c>
      <c r="F111" t="s">
        <v>9</v>
      </c>
      <c r="G111">
        <v>20251231</v>
      </c>
    </row>
    <row r="112" spans="1:7" x14ac:dyDescent="0.25">
      <c r="A112" t="s">
        <v>228</v>
      </c>
      <c r="B112">
        <v>763563</v>
      </c>
      <c r="C112" t="s">
        <v>229</v>
      </c>
      <c r="D112">
        <v>6022</v>
      </c>
      <c r="E112">
        <v>1231</v>
      </c>
      <c r="F112" t="s">
        <v>9</v>
      </c>
      <c r="G112">
        <v>20251231</v>
      </c>
    </row>
    <row r="113" spans="1:7" x14ac:dyDescent="0.25">
      <c r="A113" t="s">
        <v>230</v>
      </c>
      <c r="B113">
        <v>1392272</v>
      </c>
      <c r="C113" t="s">
        <v>231</v>
      </c>
      <c r="D113">
        <v>6021</v>
      </c>
      <c r="E113">
        <v>1231</v>
      </c>
      <c r="F113" t="s">
        <v>9</v>
      </c>
      <c r="G113">
        <v>20251231</v>
      </c>
    </row>
    <row r="114" spans="1:7" x14ac:dyDescent="0.25">
      <c r="A114" t="s">
        <v>232</v>
      </c>
      <c r="B114">
        <v>1767837</v>
      </c>
      <c r="C114" t="s">
        <v>233</v>
      </c>
      <c r="D114">
        <v>6022</v>
      </c>
      <c r="E114">
        <v>1231</v>
      </c>
      <c r="F114" t="s">
        <v>9</v>
      </c>
      <c r="G114">
        <v>20251231</v>
      </c>
    </row>
    <row r="115" spans="1:7" x14ac:dyDescent="0.25">
      <c r="A115" t="s">
        <v>234</v>
      </c>
      <c r="B115">
        <v>2065601</v>
      </c>
      <c r="C115" t="s">
        <v>235</v>
      </c>
      <c r="D115">
        <v>6022</v>
      </c>
      <c r="E115">
        <v>1231</v>
      </c>
      <c r="F115" t="s">
        <v>9</v>
      </c>
      <c r="G115">
        <v>20251231</v>
      </c>
    </row>
    <row r="116" spans="1:7" x14ac:dyDescent="0.25">
      <c r="A116" t="s">
        <v>236</v>
      </c>
      <c r="B116">
        <v>1649739</v>
      </c>
      <c r="C116" t="s">
        <v>237</v>
      </c>
      <c r="D116">
        <v>6022</v>
      </c>
      <c r="E116">
        <v>1231</v>
      </c>
      <c r="F116" t="s">
        <v>9</v>
      </c>
      <c r="G116">
        <v>20251231</v>
      </c>
    </row>
    <row r="117" spans="1:7" x14ac:dyDescent="0.25">
      <c r="A117" t="s">
        <v>238</v>
      </c>
      <c r="B117">
        <v>1093672</v>
      </c>
      <c r="C117" t="s">
        <v>239</v>
      </c>
      <c r="D117">
        <v>6022</v>
      </c>
      <c r="E117">
        <v>1231</v>
      </c>
      <c r="F117" t="s">
        <v>9</v>
      </c>
      <c r="G117">
        <v>20251231</v>
      </c>
    </row>
    <row r="118" spans="1:7" x14ac:dyDescent="0.25">
      <c r="A118" t="s">
        <v>240</v>
      </c>
      <c r="B118">
        <v>718413</v>
      </c>
      <c r="C118" t="s">
        <v>241</v>
      </c>
      <c r="D118">
        <v>6021</v>
      </c>
      <c r="E118">
        <v>1231</v>
      </c>
      <c r="F118" t="s">
        <v>9</v>
      </c>
      <c r="G118">
        <v>20251231</v>
      </c>
    </row>
    <row r="119" spans="1:7" x14ac:dyDescent="0.25">
      <c r="A119" t="s">
        <v>242</v>
      </c>
      <c r="B119">
        <v>740806</v>
      </c>
      <c r="C119" t="s">
        <v>243</v>
      </c>
      <c r="D119">
        <v>6022</v>
      </c>
      <c r="E119">
        <v>1231</v>
      </c>
      <c r="F119" t="s">
        <v>9</v>
      </c>
      <c r="G119">
        <v>20251231</v>
      </c>
    </row>
    <row r="120" spans="1:7" x14ac:dyDescent="0.25">
      <c r="A120" t="s">
        <v>244</v>
      </c>
      <c r="B120">
        <v>1675644</v>
      </c>
      <c r="C120" t="s">
        <v>245</v>
      </c>
      <c r="D120">
        <v>6022</v>
      </c>
      <c r="E120">
        <v>1231</v>
      </c>
      <c r="F120" t="s">
        <v>9</v>
      </c>
      <c r="G120">
        <v>20251231</v>
      </c>
    </row>
    <row r="121" spans="1:7" x14ac:dyDescent="0.25">
      <c r="A121" t="s">
        <v>246</v>
      </c>
      <c r="B121">
        <v>1709442</v>
      </c>
      <c r="C121" t="s">
        <v>247</v>
      </c>
      <c r="D121">
        <v>6021</v>
      </c>
      <c r="E121">
        <v>1231</v>
      </c>
      <c r="F121" t="s">
        <v>9</v>
      </c>
      <c r="G121">
        <v>20251231</v>
      </c>
    </row>
    <row r="122" spans="1:7" x14ac:dyDescent="0.25">
      <c r="A122" t="s">
        <v>248</v>
      </c>
      <c r="B122">
        <v>1722010</v>
      </c>
      <c r="C122" t="s">
        <v>249</v>
      </c>
      <c r="D122">
        <v>6022</v>
      </c>
      <c r="E122">
        <v>1231</v>
      </c>
      <c r="F122" t="s">
        <v>9</v>
      </c>
      <c r="G122">
        <v>20251231</v>
      </c>
    </row>
    <row r="123" spans="1:7" x14ac:dyDescent="0.25">
      <c r="A123" t="s">
        <v>250</v>
      </c>
      <c r="B123">
        <v>1730984</v>
      </c>
      <c r="C123" t="s">
        <v>251</v>
      </c>
      <c r="D123">
        <v>6022</v>
      </c>
      <c r="E123">
        <v>1231</v>
      </c>
      <c r="F123" t="s">
        <v>9</v>
      </c>
      <c r="G123">
        <v>20251231</v>
      </c>
    </row>
    <row r="124" spans="1:7" x14ac:dyDescent="0.25">
      <c r="A124" t="s">
        <v>252</v>
      </c>
      <c r="B124">
        <v>1747068</v>
      </c>
      <c r="C124" t="s">
        <v>253</v>
      </c>
      <c r="D124">
        <v>6022</v>
      </c>
      <c r="E124">
        <v>1231</v>
      </c>
      <c r="F124" t="s">
        <v>9</v>
      </c>
      <c r="G124">
        <v>20251231</v>
      </c>
    </row>
    <row r="125" spans="1:7" x14ac:dyDescent="0.25">
      <c r="A125" t="s">
        <v>254</v>
      </c>
      <c r="B125">
        <v>1750735</v>
      </c>
      <c r="C125" t="s">
        <v>255</v>
      </c>
      <c r="D125">
        <v>6021</v>
      </c>
      <c r="E125">
        <v>1231</v>
      </c>
      <c r="F125" t="s">
        <v>9</v>
      </c>
      <c r="G125">
        <v>20251231</v>
      </c>
    </row>
    <row r="126" spans="1:7" x14ac:dyDescent="0.25">
      <c r="A126" t="s">
        <v>256</v>
      </c>
      <c r="B126">
        <v>1795815</v>
      </c>
      <c r="C126" t="s">
        <v>257</v>
      </c>
      <c r="D126">
        <v>6021</v>
      </c>
      <c r="E126">
        <v>1231</v>
      </c>
      <c r="F126" t="s">
        <v>9</v>
      </c>
      <c r="G126">
        <v>20251231</v>
      </c>
    </row>
    <row r="127" spans="1:7" x14ac:dyDescent="0.25">
      <c r="A127" t="s">
        <v>258</v>
      </c>
      <c r="B127">
        <v>1823608</v>
      </c>
      <c r="C127" t="s">
        <v>259</v>
      </c>
      <c r="D127">
        <v>6022</v>
      </c>
      <c r="E127">
        <v>1231</v>
      </c>
      <c r="F127" t="s">
        <v>9</v>
      </c>
      <c r="G127">
        <v>20251231</v>
      </c>
    </row>
    <row r="128" spans="1:7" x14ac:dyDescent="0.25">
      <c r="A128" t="s">
        <v>260</v>
      </c>
      <c r="B128">
        <v>1829576</v>
      </c>
      <c r="C128" t="s">
        <v>261</v>
      </c>
      <c r="D128">
        <v>6021</v>
      </c>
      <c r="E128">
        <v>1231</v>
      </c>
      <c r="F128" t="s">
        <v>9</v>
      </c>
      <c r="G128">
        <v>20251231</v>
      </c>
    </row>
    <row r="129" spans="1:7" x14ac:dyDescent="0.25">
      <c r="A129" t="s">
        <v>262</v>
      </c>
      <c r="B129">
        <v>1856365</v>
      </c>
      <c r="C129" t="s">
        <v>263</v>
      </c>
      <c r="D129">
        <v>6022</v>
      </c>
      <c r="E129">
        <v>1231</v>
      </c>
      <c r="F129" t="s">
        <v>9</v>
      </c>
      <c r="G129">
        <v>20251231</v>
      </c>
    </row>
    <row r="130" spans="1:7" x14ac:dyDescent="0.25">
      <c r="A130" t="s">
        <v>264</v>
      </c>
      <c r="B130">
        <v>2082866</v>
      </c>
      <c r="C130" t="s">
        <v>265</v>
      </c>
      <c r="D130">
        <v>6021</v>
      </c>
      <c r="E130">
        <v>1231</v>
      </c>
      <c r="F130" t="s">
        <v>9</v>
      </c>
      <c r="G130">
        <v>20251231</v>
      </c>
    </row>
    <row r="131" spans="1:7" x14ac:dyDescent="0.25">
      <c r="A131" t="s">
        <v>266</v>
      </c>
      <c r="B131">
        <v>1098146</v>
      </c>
      <c r="C131" t="s">
        <v>267</v>
      </c>
      <c r="D131">
        <v>6021</v>
      </c>
      <c r="E131">
        <v>1231</v>
      </c>
      <c r="F131" t="s">
        <v>9</v>
      </c>
      <c r="G131">
        <v>20251231</v>
      </c>
    </row>
    <row r="132" spans="1:7" x14ac:dyDescent="0.25">
      <c r="A132" t="s">
        <v>268</v>
      </c>
      <c r="B132">
        <v>1163389</v>
      </c>
      <c r="C132" t="s">
        <v>269</v>
      </c>
      <c r="D132">
        <v>6022</v>
      </c>
      <c r="E132">
        <v>1231</v>
      </c>
      <c r="F132" t="s">
        <v>9</v>
      </c>
      <c r="G132">
        <v>20251231</v>
      </c>
    </row>
    <row r="133" spans="1:7" x14ac:dyDescent="0.25">
      <c r="A133" t="s">
        <v>270</v>
      </c>
      <c r="B133">
        <v>7789</v>
      </c>
      <c r="C133" t="s">
        <v>271</v>
      </c>
      <c r="D133">
        <v>6022</v>
      </c>
      <c r="E133">
        <v>1231</v>
      </c>
      <c r="F133" t="s">
        <v>9</v>
      </c>
      <c r="G133">
        <v>20251231</v>
      </c>
    </row>
    <row r="134" spans="1:7" x14ac:dyDescent="0.25">
      <c r="A134" t="s">
        <v>272</v>
      </c>
      <c r="B134">
        <v>22356</v>
      </c>
      <c r="C134" t="s">
        <v>273</v>
      </c>
      <c r="D134">
        <v>6022</v>
      </c>
      <c r="E134">
        <v>1231</v>
      </c>
      <c r="F134" t="s">
        <v>9</v>
      </c>
      <c r="G134">
        <v>20251231</v>
      </c>
    </row>
    <row r="135" spans="1:7" x14ac:dyDescent="0.25">
      <c r="A135" t="s">
        <v>274</v>
      </c>
      <c r="B135">
        <v>34782</v>
      </c>
      <c r="C135" t="s">
        <v>275</v>
      </c>
      <c r="D135">
        <v>6022</v>
      </c>
      <c r="E135">
        <v>1231</v>
      </c>
      <c r="F135" t="s">
        <v>9</v>
      </c>
      <c r="G135">
        <v>20251231</v>
      </c>
    </row>
    <row r="136" spans="1:7" x14ac:dyDescent="0.25">
      <c r="A136" t="s">
        <v>276</v>
      </c>
      <c r="B136">
        <v>35527</v>
      </c>
      <c r="C136" t="s">
        <v>277</v>
      </c>
      <c r="D136">
        <v>6022</v>
      </c>
      <c r="E136">
        <v>1231</v>
      </c>
      <c r="F136" t="s">
        <v>9</v>
      </c>
      <c r="G136">
        <v>20251231</v>
      </c>
    </row>
    <row r="137" spans="1:7" x14ac:dyDescent="0.25">
      <c r="A137" t="s">
        <v>278</v>
      </c>
      <c r="B137">
        <v>36104</v>
      </c>
      <c r="C137" t="s">
        <v>279</v>
      </c>
      <c r="D137">
        <v>6021</v>
      </c>
      <c r="E137">
        <v>1231</v>
      </c>
      <c r="F137" t="s">
        <v>9</v>
      </c>
      <c r="G137">
        <v>20251231</v>
      </c>
    </row>
    <row r="138" spans="1:7" x14ac:dyDescent="0.25">
      <c r="A138" t="s">
        <v>280</v>
      </c>
      <c r="B138">
        <v>36270</v>
      </c>
      <c r="C138" t="s">
        <v>281</v>
      </c>
      <c r="D138">
        <v>6022</v>
      </c>
      <c r="E138">
        <v>1231</v>
      </c>
      <c r="F138" t="s">
        <v>9</v>
      </c>
      <c r="G138">
        <v>20251231</v>
      </c>
    </row>
    <row r="139" spans="1:7" x14ac:dyDescent="0.25">
      <c r="A139" t="s">
        <v>282</v>
      </c>
      <c r="B139">
        <v>36966</v>
      </c>
      <c r="C139" t="s">
        <v>283</v>
      </c>
      <c r="D139">
        <v>6021</v>
      </c>
      <c r="E139">
        <v>1231</v>
      </c>
      <c r="F139" t="s">
        <v>9</v>
      </c>
      <c r="G139">
        <v>20251231</v>
      </c>
    </row>
    <row r="140" spans="1:7" x14ac:dyDescent="0.25">
      <c r="A140" t="s">
        <v>284</v>
      </c>
      <c r="B140">
        <v>37808</v>
      </c>
      <c r="C140" t="s">
        <v>285</v>
      </c>
      <c r="D140">
        <v>6021</v>
      </c>
      <c r="E140">
        <v>1231</v>
      </c>
      <c r="F140" t="s">
        <v>9</v>
      </c>
      <c r="G140">
        <v>20251231</v>
      </c>
    </row>
    <row r="141" spans="1:7" x14ac:dyDescent="0.25">
      <c r="A141" t="s">
        <v>286</v>
      </c>
      <c r="B141">
        <v>39263</v>
      </c>
      <c r="C141" t="s">
        <v>287</v>
      </c>
      <c r="D141">
        <v>6021</v>
      </c>
      <c r="E141">
        <v>1231</v>
      </c>
      <c r="F141" t="s">
        <v>9</v>
      </c>
      <c r="G141">
        <v>20251231</v>
      </c>
    </row>
    <row r="142" spans="1:7" x14ac:dyDescent="0.25">
      <c r="A142" t="s">
        <v>288</v>
      </c>
      <c r="B142">
        <v>40729</v>
      </c>
      <c r="C142" t="s">
        <v>289</v>
      </c>
      <c r="D142">
        <v>6022</v>
      </c>
      <c r="E142">
        <v>1231</v>
      </c>
      <c r="F142" t="s">
        <v>9</v>
      </c>
      <c r="G142">
        <v>20251231</v>
      </c>
    </row>
    <row r="143" spans="1:7" x14ac:dyDescent="0.25">
      <c r="A143" t="s">
        <v>290</v>
      </c>
      <c r="B143">
        <v>46195</v>
      </c>
      <c r="C143" t="s">
        <v>291</v>
      </c>
      <c r="D143">
        <v>6022</v>
      </c>
      <c r="E143">
        <v>1231</v>
      </c>
      <c r="F143" t="s">
        <v>9</v>
      </c>
      <c r="G143">
        <v>20251231</v>
      </c>
    </row>
    <row r="144" spans="1:7" x14ac:dyDescent="0.25">
      <c r="A144" t="s">
        <v>292</v>
      </c>
      <c r="B144">
        <v>49196</v>
      </c>
      <c r="C144" t="s">
        <v>293</v>
      </c>
      <c r="D144">
        <v>6021</v>
      </c>
      <c r="E144">
        <v>1231</v>
      </c>
      <c r="F144" t="s">
        <v>9</v>
      </c>
      <c r="G144">
        <v>20251231</v>
      </c>
    </row>
    <row r="145" spans="1:7" x14ac:dyDescent="0.25">
      <c r="A145" t="s">
        <v>294</v>
      </c>
      <c r="B145">
        <v>70858</v>
      </c>
      <c r="C145" t="s">
        <v>295</v>
      </c>
      <c r="D145">
        <v>6021</v>
      </c>
      <c r="E145">
        <v>1231</v>
      </c>
      <c r="F145" t="s">
        <v>9</v>
      </c>
      <c r="G145">
        <v>20251231</v>
      </c>
    </row>
    <row r="146" spans="1:7" x14ac:dyDescent="0.25">
      <c r="A146" t="s">
        <v>296</v>
      </c>
      <c r="B146">
        <v>72971</v>
      </c>
      <c r="C146" t="s">
        <v>297</v>
      </c>
      <c r="D146">
        <v>6021</v>
      </c>
      <c r="E146">
        <v>1231</v>
      </c>
      <c r="F146" t="s">
        <v>9</v>
      </c>
      <c r="G146">
        <v>20251231</v>
      </c>
    </row>
    <row r="147" spans="1:7" x14ac:dyDescent="0.25">
      <c r="A147" t="s">
        <v>298</v>
      </c>
      <c r="B147">
        <v>73124</v>
      </c>
      <c r="C147" t="s">
        <v>299</v>
      </c>
      <c r="D147">
        <v>6022</v>
      </c>
      <c r="E147">
        <v>1231</v>
      </c>
      <c r="F147" t="s">
        <v>9</v>
      </c>
      <c r="G147">
        <v>20251231</v>
      </c>
    </row>
    <row r="148" spans="1:7" x14ac:dyDescent="0.25">
      <c r="A148" t="s">
        <v>300</v>
      </c>
      <c r="B148">
        <v>83246</v>
      </c>
      <c r="C148" t="s">
        <v>301</v>
      </c>
      <c r="D148">
        <v>6021</v>
      </c>
      <c r="E148">
        <v>1231</v>
      </c>
      <c r="F148" t="s">
        <v>9</v>
      </c>
      <c r="G148">
        <v>20251231</v>
      </c>
    </row>
    <row r="149" spans="1:7" x14ac:dyDescent="0.25">
      <c r="A149" t="s">
        <v>302</v>
      </c>
      <c r="B149">
        <v>92230</v>
      </c>
      <c r="C149" t="s">
        <v>303</v>
      </c>
      <c r="D149">
        <v>6021</v>
      </c>
      <c r="E149">
        <v>1231</v>
      </c>
      <c r="F149" t="s">
        <v>9</v>
      </c>
      <c r="G149">
        <v>20251231</v>
      </c>
    </row>
    <row r="150" spans="1:7" x14ac:dyDescent="0.25">
      <c r="A150" t="s">
        <v>304</v>
      </c>
      <c r="B150">
        <v>93751</v>
      </c>
      <c r="C150" t="s">
        <v>305</v>
      </c>
      <c r="D150">
        <v>6022</v>
      </c>
      <c r="E150">
        <v>1231</v>
      </c>
      <c r="F150" t="s">
        <v>9</v>
      </c>
      <c r="G150">
        <v>20251231</v>
      </c>
    </row>
    <row r="151" spans="1:7" x14ac:dyDescent="0.25">
      <c r="A151" t="s">
        <v>306</v>
      </c>
      <c r="B151">
        <v>102212</v>
      </c>
      <c r="C151" t="s">
        <v>307</v>
      </c>
      <c r="D151">
        <v>6022</v>
      </c>
      <c r="E151">
        <v>1231</v>
      </c>
      <c r="F151" t="s">
        <v>9</v>
      </c>
      <c r="G151">
        <v>20251231</v>
      </c>
    </row>
    <row r="152" spans="1:7" x14ac:dyDescent="0.25">
      <c r="A152" t="s">
        <v>308</v>
      </c>
      <c r="B152">
        <v>109380</v>
      </c>
      <c r="C152" t="s">
        <v>309</v>
      </c>
      <c r="D152">
        <v>6021</v>
      </c>
      <c r="E152">
        <v>1231</v>
      </c>
      <c r="F152" t="s">
        <v>9</v>
      </c>
      <c r="G152">
        <v>20251231</v>
      </c>
    </row>
    <row r="153" spans="1:7" x14ac:dyDescent="0.25">
      <c r="A153" t="s">
        <v>310</v>
      </c>
      <c r="B153">
        <v>314489</v>
      </c>
      <c r="C153" t="s">
        <v>311</v>
      </c>
      <c r="D153">
        <v>6022</v>
      </c>
      <c r="E153">
        <v>1231</v>
      </c>
      <c r="F153" t="s">
        <v>9</v>
      </c>
      <c r="G153">
        <v>20251231</v>
      </c>
    </row>
    <row r="154" spans="1:7" x14ac:dyDescent="0.25">
      <c r="A154" t="s">
        <v>312</v>
      </c>
      <c r="B154">
        <v>318300</v>
      </c>
      <c r="C154" t="s">
        <v>313</v>
      </c>
      <c r="D154">
        <v>6022</v>
      </c>
      <c r="E154">
        <v>1231</v>
      </c>
      <c r="F154" t="s">
        <v>9</v>
      </c>
      <c r="G154">
        <v>20251231</v>
      </c>
    </row>
    <row r="155" spans="1:7" x14ac:dyDescent="0.25">
      <c r="A155" t="s">
        <v>314</v>
      </c>
      <c r="B155">
        <v>351569</v>
      </c>
      <c r="C155" t="s">
        <v>315</v>
      </c>
      <c r="D155">
        <v>6022</v>
      </c>
      <c r="E155">
        <v>1231</v>
      </c>
      <c r="F155" t="s">
        <v>9</v>
      </c>
      <c r="G155">
        <v>20251231</v>
      </c>
    </row>
    <row r="156" spans="1:7" x14ac:dyDescent="0.25">
      <c r="A156" t="s">
        <v>316</v>
      </c>
      <c r="B156">
        <v>356171</v>
      </c>
      <c r="C156" t="s">
        <v>317</v>
      </c>
      <c r="D156">
        <v>6022</v>
      </c>
      <c r="E156">
        <v>1231</v>
      </c>
      <c r="F156" t="s">
        <v>9</v>
      </c>
      <c r="G156">
        <v>20251231</v>
      </c>
    </row>
    <row r="157" spans="1:7" x14ac:dyDescent="0.25">
      <c r="A157" t="s">
        <v>318</v>
      </c>
      <c r="B157">
        <v>700564</v>
      </c>
      <c r="C157" t="s">
        <v>319</v>
      </c>
      <c r="D157">
        <v>6021</v>
      </c>
      <c r="E157">
        <v>1231</v>
      </c>
      <c r="F157" t="s">
        <v>9</v>
      </c>
      <c r="G157">
        <v>20251231</v>
      </c>
    </row>
    <row r="158" spans="1:7" x14ac:dyDescent="0.25">
      <c r="A158" t="s">
        <v>320</v>
      </c>
      <c r="B158">
        <v>701347</v>
      </c>
      <c r="C158" t="s">
        <v>321</v>
      </c>
      <c r="D158">
        <v>6022</v>
      </c>
      <c r="E158">
        <v>1231</v>
      </c>
      <c r="F158" t="s">
        <v>9</v>
      </c>
      <c r="G158">
        <v>20251231</v>
      </c>
    </row>
    <row r="159" spans="1:7" x14ac:dyDescent="0.25">
      <c r="A159" t="s">
        <v>322</v>
      </c>
      <c r="B159">
        <v>705432</v>
      </c>
      <c r="C159" t="s">
        <v>323</v>
      </c>
      <c r="D159">
        <v>6022</v>
      </c>
      <c r="E159">
        <v>1231</v>
      </c>
      <c r="F159" t="s">
        <v>9</v>
      </c>
      <c r="G159">
        <v>20251231</v>
      </c>
    </row>
    <row r="160" spans="1:7" x14ac:dyDescent="0.25">
      <c r="A160" t="s">
        <v>324</v>
      </c>
      <c r="B160">
        <v>707179</v>
      </c>
      <c r="C160" t="s">
        <v>325</v>
      </c>
      <c r="D160">
        <v>6021</v>
      </c>
      <c r="E160">
        <v>1231</v>
      </c>
      <c r="F160" t="s">
        <v>9</v>
      </c>
      <c r="G160">
        <v>20251231</v>
      </c>
    </row>
    <row r="161" spans="1:7" x14ac:dyDescent="0.25">
      <c r="A161" t="s">
        <v>326</v>
      </c>
      <c r="B161">
        <v>708955</v>
      </c>
      <c r="C161" t="s">
        <v>327</v>
      </c>
      <c r="D161">
        <v>6021</v>
      </c>
      <c r="E161">
        <v>1231</v>
      </c>
      <c r="F161" t="s">
        <v>9</v>
      </c>
      <c r="G161">
        <v>20251231</v>
      </c>
    </row>
    <row r="162" spans="1:7" x14ac:dyDescent="0.25">
      <c r="A162" t="s">
        <v>328</v>
      </c>
      <c r="B162">
        <v>712534</v>
      </c>
      <c r="C162" t="s">
        <v>329</v>
      </c>
      <c r="D162">
        <v>6021</v>
      </c>
      <c r="E162">
        <v>1231</v>
      </c>
      <c r="F162" t="s">
        <v>9</v>
      </c>
      <c r="G162">
        <v>20251231</v>
      </c>
    </row>
    <row r="163" spans="1:7" x14ac:dyDescent="0.25">
      <c r="A163" t="s">
        <v>330</v>
      </c>
      <c r="B163">
        <v>712537</v>
      </c>
      <c r="C163" t="s">
        <v>331</v>
      </c>
      <c r="D163">
        <v>6021</v>
      </c>
      <c r="E163">
        <v>1231</v>
      </c>
      <c r="F163" t="s">
        <v>9</v>
      </c>
      <c r="G163">
        <v>20251231</v>
      </c>
    </row>
    <row r="164" spans="1:7" x14ac:dyDescent="0.25">
      <c r="A164" t="s">
        <v>332</v>
      </c>
      <c r="B164">
        <v>713676</v>
      </c>
      <c r="C164" t="s">
        <v>333</v>
      </c>
      <c r="D164">
        <v>6021</v>
      </c>
      <c r="E164">
        <v>1231</v>
      </c>
      <c r="F164" t="s">
        <v>9</v>
      </c>
      <c r="G164">
        <v>20251231</v>
      </c>
    </row>
    <row r="165" spans="1:7" x14ac:dyDescent="0.25">
      <c r="A165" t="s">
        <v>334</v>
      </c>
      <c r="B165">
        <v>714310</v>
      </c>
      <c r="C165" t="s">
        <v>335</v>
      </c>
      <c r="D165">
        <v>6021</v>
      </c>
      <c r="E165">
        <v>1231</v>
      </c>
      <c r="F165" t="s">
        <v>9</v>
      </c>
      <c r="G165">
        <v>20251231</v>
      </c>
    </row>
    <row r="166" spans="1:7" x14ac:dyDescent="0.25">
      <c r="A166" t="s">
        <v>336</v>
      </c>
      <c r="B166">
        <v>714395</v>
      </c>
      <c r="C166" t="s">
        <v>337</v>
      </c>
      <c r="D166">
        <v>6022</v>
      </c>
      <c r="E166">
        <v>1231</v>
      </c>
      <c r="F166" t="s">
        <v>9</v>
      </c>
      <c r="G166">
        <v>20251231</v>
      </c>
    </row>
    <row r="167" spans="1:7" x14ac:dyDescent="0.25">
      <c r="A167" t="s">
        <v>338</v>
      </c>
      <c r="B167">
        <v>715072</v>
      </c>
      <c r="C167" t="s">
        <v>339</v>
      </c>
      <c r="D167">
        <v>6022</v>
      </c>
      <c r="E167">
        <v>1231</v>
      </c>
      <c r="F167" t="s">
        <v>9</v>
      </c>
      <c r="G167">
        <v>20251231</v>
      </c>
    </row>
    <row r="168" spans="1:7" x14ac:dyDescent="0.25">
      <c r="A168" t="s">
        <v>340</v>
      </c>
      <c r="B168">
        <v>719220</v>
      </c>
      <c r="C168" t="s">
        <v>341</v>
      </c>
      <c r="D168">
        <v>6022</v>
      </c>
      <c r="E168">
        <v>1231</v>
      </c>
      <c r="F168" t="s">
        <v>9</v>
      </c>
      <c r="G168">
        <v>20251231</v>
      </c>
    </row>
    <row r="169" spans="1:7" x14ac:dyDescent="0.25">
      <c r="A169" t="s">
        <v>342</v>
      </c>
      <c r="B169">
        <v>721994</v>
      </c>
      <c r="C169" t="s">
        <v>343</v>
      </c>
      <c r="D169">
        <v>6022</v>
      </c>
      <c r="E169">
        <v>1231</v>
      </c>
      <c r="F169" t="s">
        <v>9</v>
      </c>
      <c r="G169">
        <v>20251231</v>
      </c>
    </row>
    <row r="170" spans="1:7" x14ac:dyDescent="0.25">
      <c r="A170" t="s">
        <v>344</v>
      </c>
      <c r="B170">
        <v>726601</v>
      </c>
      <c r="C170" t="s">
        <v>345</v>
      </c>
      <c r="D170">
        <v>6022</v>
      </c>
      <c r="E170">
        <v>1231</v>
      </c>
      <c r="F170" t="s">
        <v>9</v>
      </c>
      <c r="G170">
        <v>20251231</v>
      </c>
    </row>
    <row r="171" spans="1:7" x14ac:dyDescent="0.25">
      <c r="A171" t="s">
        <v>346</v>
      </c>
      <c r="B171">
        <v>726854</v>
      </c>
      <c r="C171" t="s">
        <v>347</v>
      </c>
      <c r="D171">
        <v>6021</v>
      </c>
      <c r="E171">
        <v>1231</v>
      </c>
      <c r="F171" t="s">
        <v>9</v>
      </c>
      <c r="G171">
        <v>20251231</v>
      </c>
    </row>
    <row r="172" spans="1:7" x14ac:dyDescent="0.25">
      <c r="A172" t="s">
        <v>348</v>
      </c>
      <c r="B172">
        <v>737468</v>
      </c>
      <c r="C172" t="s">
        <v>349</v>
      </c>
      <c r="D172">
        <v>6022</v>
      </c>
      <c r="E172">
        <v>1231</v>
      </c>
      <c r="F172" t="s">
        <v>9</v>
      </c>
      <c r="G172">
        <v>20251231</v>
      </c>
    </row>
    <row r="173" spans="1:7" x14ac:dyDescent="0.25">
      <c r="A173" t="s">
        <v>350</v>
      </c>
      <c r="B173">
        <v>759944</v>
      </c>
      <c r="C173" t="s">
        <v>351</v>
      </c>
      <c r="D173">
        <v>6022</v>
      </c>
      <c r="E173">
        <v>1231</v>
      </c>
      <c r="F173" t="s">
        <v>9</v>
      </c>
      <c r="G173">
        <v>20251231</v>
      </c>
    </row>
    <row r="174" spans="1:7" x14ac:dyDescent="0.25">
      <c r="A174" t="s">
        <v>352</v>
      </c>
      <c r="B174">
        <v>776901</v>
      </c>
      <c r="C174" t="s">
        <v>353</v>
      </c>
      <c r="D174">
        <v>6022</v>
      </c>
      <c r="E174">
        <v>1231</v>
      </c>
      <c r="F174" t="s">
        <v>9</v>
      </c>
      <c r="G174">
        <v>20251231</v>
      </c>
    </row>
    <row r="175" spans="1:7" x14ac:dyDescent="0.25">
      <c r="A175" t="s">
        <v>354</v>
      </c>
      <c r="B175">
        <v>798941</v>
      </c>
      <c r="C175" t="s">
        <v>355</v>
      </c>
      <c r="D175">
        <v>6022</v>
      </c>
      <c r="E175">
        <v>1231</v>
      </c>
      <c r="F175" t="s">
        <v>9</v>
      </c>
      <c r="G175">
        <v>20251231</v>
      </c>
    </row>
    <row r="176" spans="1:7" x14ac:dyDescent="0.25">
      <c r="A176" t="s">
        <v>356</v>
      </c>
      <c r="B176">
        <v>801337</v>
      </c>
      <c r="C176" t="s">
        <v>357</v>
      </c>
      <c r="D176">
        <v>6021</v>
      </c>
      <c r="E176">
        <v>1231</v>
      </c>
      <c r="F176" t="s">
        <v>9</v>
      </c>
      <c r="G176">
        <v>20251231</v>
      </c>
    </row>
    <row r="177" spans="1:7" x14ac:dyDescent="0.25">
      <c r="A177" t="s">
        <v>358</v>
      </c>
      <c r="B177">
        <v>805676</v>
      </c>
      <c r="C177" t="s">
        <v>359</v>
      </c>
      <c r="D177">
        <v>6021</v>
      </c>
      <c r="E177">
        <v>1231</v>
      </c>
      <c r="F177" t="s">
        <v>9</v>
      </c>
      <c r="G177">
        <v>20251231</v>
      </c>
    </row>
    <row r="178" spans="1:7" x14ac:dyDescent="0.25">
      <c r="A178" t="s">
        <v>360</v>
      </c>
      <c r="B178">
        <v>811589</v>
      </c>
      <c r="C178" t="s">
        <v>361</v>
      </c>
      <c r="D178">
        <v>6022</v>
      </c>
      <c r="E178">
        <v>1231</v>
      </c>
      <c r="F178" t="s">
        <v>9</v>
      </c>
      <c r="G178">
        <v>20251231</v>
      </c>
    </row>
    <row r="179" spans="1:7" x14ac:dyDescent="0.25">
      <c r="A179" t="s">
        <v>362</v>
      </c>
      <c r="B179">
        <v>811830</v>
      </c>
      <c r="C179" t="s">
        <v>363</v>
      </c>
      <c r="D179">
        <v>6021</v>
      </c>
      <c r="E179">
        <v>1231</v>
      </c>
      <c r="F179" t="s">
        <v>9</v>
      </c>
      <c r="G179">
        <v>20251231</v>
      </c>
    </row>
    <row r="180" spans="1:7" x14ac:dyDescent="0.25">
      <c r="A180" t="s">
        <v>364</v>
      </c>
      <c r="B180">
        <v>828944</v>
      </c>
      <c r="C180" t="s">
        <v>365</v>
      </c>
      <c r="D180">
        <v>6021</v>
      </c>
      <c r="E180">
        <v>1231</v>
      </c>
      <c r="F180" t="s">
        <v>9</v>
      </c>
      <c r="G180">
        <v>20251231</v>
      </c>
    </row>
    <row r="181" spans="1:7" x14ac:dyDescent="0.25">
      <c r="A181" t="s">
        <v>366</v>
      </c>
      <c r="B181">
        <v>831001</v>
      </c>
      <c r="C181" t="s">
        <v>367</v>
      </c>
      <c r="D181">
        <v>6021</v>
      </c>
      <c r="E181">
        <v>1231</v>
      </c>
      <c r="F181" t="s">
        <v>9</v>
      </c>
      <c r="G181">
        <v>20251231</v>
      </c>
    </row>
    <row r="182" spans="1:7" x14ac:dyDescent="0.25">
      <c r="A182" t="s">
        <v>368</v>
      </c>
      <c r="B182">
        <v>846617</v>
      </c>
      <c r="C182" t="s">
        <v>369</v>
      </c>
      <c r="D182">
        <v>6021</v>
      </c>
      <c r="E182">
        <v>1231</v>
      </c>
      <c r="F182" t="s">
        <v>9</v>
      </c>
      <c r="G182">
        <v>20251231</v>
      </c>
    </row>
    <row r="183" spans="1:7" x14ac:dyDescent="0.25">
      <c r="A183" t="s">
        <v>370</v>
      </c>
      <c r="B183">
        <v>857855</v>
      </c>
      <c r="C183" t="s">
        <v>371</v>
      </c>
      <c r="D183">
        <v>6022</v>
      </c>
      <c r="E183">
        <v>1231</v>
      </c>
      <c r="F183" t="s">
        <v>9</v>
      </c>
      <c r="G183">
        <v>20251231</v>
      </c>
    </row>
    <row r="184" spans="1:7" x14ac:dyDescent="0.25">
      <c r="A184" t="s">
        <v>372</v>
      </c>
      <c r="B184">
        <v>860413</v>
      </c>
      <c r="C184" t="s">
        <v>373</v>
      </c>
      <c r="D184">
        <v>6022</v>
      </c>
      <c r="E184">
        <v>1231</v>
      </c>
      <c r="F184" t="s">
        <v>9</v>
      </c>
      <c r="G184">
        <v>20251231</v>
      </c>
    </row>
    <row r="185" spans="1:7" x14ac:dyDescent="0.25">
      <c r="A185" t="s">
        <v>374</v>
      </c>
      <c r="B185">
        <v>868671</v>
      </c>
      <c r="C185" t="s">
        <v>375</v>
      </c>
      <c r="D185">
        <v>6022</v>
      </c>
      <c r="E185">
        <v>1231</v>
      </c>
      <c r="F185" t="s">
        <v>9</v>
      </c>
      <c r="G185">
        <v>20251231</v>
      </c>
    </row>
    <row r="186" spans="1:7" x14ac:dyDescent="0.25">
      <c r="A186" t="s">
        <v>376</v>
      </c>
      <c r="B186">
        <v>875357</v>
      </c>
      <c r="C186" t="s">
        <v>377</v>
      </c>
      <c r="D186">
        <v>6021</v>
      </c>
      <c r="E186">
        <v>1231</v>
      </c>
      <c r="F186" t="s">
        <v>9</v>
      </c>
      <c r="G186">
        <v>20251231</v>
      </c>
    </row>
    <row r="187" spans="1:7" x14ac:dyDescent="0.25">
      <c r="A187" t="s">
        <v>378</v>
      </c>
      <c r="B187">
        <v>883948</v>
      </c>
      <c r="C187" t="s">
        <v>379</v>
      </c>
      <c r="D187">
        <v>6022</v>
      </c>
      <c r="E187">
        <v>1231</v>
      </c>
      <c r="F187" t="s">
        <v>9</v>
      </c>
      <c r="G187">
        <v>20251231</v>
      </c>
    </row>
    <row r="188" spans="1:7" x14ac:dyDescent="0.25">
      <c r="A188" t="s">
        <v>380</v>
      </c>
      <c r="B188">
        <v>887343</v>
      </c>
      <c r="C188" t="s">
        <v>381</v>
      </c>
      <c r="D188">
        <v>6022</v>
      </c>
      <c r="E188">
        <v>1231</v>
      </c>
      <c r="F188" t="s">
        <v>9</v>
      </c>
      <c r="G188">
        <v>20251231</v>
      </c>
    </row>
    <row r="189" spans="1:7" x14ac:dyDescent="0.25">
      <c r="A189" t="s">
        <v>382</v>
      </c>
      <c r="B189">
        <v>927628</v>
      </c>
      <c r="C189" t="s">
        <v>383</v>
      </c>
      <c r="D189">
        <v>6021</v>
      </c>
      <c r="E189">
        <v>1231</v>
      </c>
      <c r="F189" t="s">
        <v>9</v>
      </c>
      <c r="G189">
        <v>20251231</v>
      </c>
    </row>
    <row r="190" spans="1:7" x14ac:dyDescent="0.25">
      <c r="A190" t="s">
        <v>384</v>
      </c>
      <c r="B190">
        <v>946673</v>
      </c>
      <c r="C190" t="s">
        <v>385</v>
      </c>
      <c r="D190">
        <v>6022</v>
      </c>
      <c r="E190">
        <v>1231</v>
      </c>
      <c r="F190" t="s">
        <v>9</v>
      </c>
      <c r="G190">
        <v>20251231</v>
      </c>
    </row>
    <row r="191" spans="1:7" x14ac:dyDescent="0.25">
      <c r="A191" t="s">
        <v>386</v>
      </c>
      <c r="B191">
        <v>1004702</v>
      </c>
      <c r="C191" t="s">
        <v>387</v>
      </c>
      <c r="D191">
        <v>6021</v>
      </c>
      <c r="E191">
        <v>1231</v>
      </c>
      <c r="F191" t="s">
        <v>9</v>
      </c>
      <c r="G191">
        <v>20251231</v>
      </c>
    </row>
    <row r="192" spans="1:7" x14ac:dyDescent="0.25">
      <c r="A192" t="s">
        <v>388</v>
      </c>
      <c r="B192">
        <v>1005817</v>
      </c>
      <c r="C192" t="s">
        <v>389</v>
      </c>
      <c r="D192">
        <v>6022</v>
      </c>
      <c r="E192">
        <v>1231</v>
      </c>
      <c r="F192" t="s">
        <v>9</v>
      </c>
      <c r="G192">
        <v>20251231</v>
      </c>
    </row>
    <row r="193" spans="1:7" x14ac:dyDescent="0.25">
      <c r="A193" t="s">
        <v>390</v>
      </c>
      <c r="B193">
        <v>1015328</v>
      </c>
      <c r="C193" t="s">
        <v>391</v>
      </c>
      <c r="D193">
        <v>6022</v>
      </c>
      <c r="E193">
        <v>1231</v>
      </c>
      <c r="F193" t="s">
        <v>9</v>
      </c>
      <c r="G193">
        <v>20251231</v>
      </c>
    </row>
    <row r="194" spans="1:7" x14ac:dyDescent="0.25">
      <c r="A194" t="s">
        <v>392</v>
      </c>
      <c r="B194">
        <v>1025835</v>
      </c>
      <c r="C194" t="s">
        <v>393</v>
      </c>
      <c r="D194">
        <v>6022</v>
      </c>
      <c r="E194">
        <v>1231</v>
      </c>
      <c r="F194" t="s">
        <v>9</v>
      </c>
      <c r="G194">
        <v>20251231</v>
      </c>
    </row>
    <row r="195" spans="1:7" x14ac:dyDescent="0.25">
      <c r="A195" t="s">
        <v>394</v>
      </c>
      <c r="B195">
        <v>1030469</v>
      </c>
      <c r="C195" t="s">
        <v>395</v>
      </c>
      <c r="D195">
        <v>6022</v>
      </c>
      <c r="E195">
        <v>1231</v>
      </c>
      <c r="F195" t="s">
        <v>9</v>
      </c>
      <c r="G195">
        <v>20251231</v>
      </c>
    </row>
    <row r="196" spans="1:7" x14ac:dyDescent="0.25">
      <c r="A196" t="s">
        <v>396</v>
      </c>
      <c r="B196">
        <v>1035092</v>
      </c>
      <c r="C196" t="s">
        <v>397</v>
      </c>
      <c r="D196">
        <v>6021</v>
      </c>
      <c r="E196">
        <v>1231</v>
      </c>
      <c r="F196" t="s">
        <v>9</v>
      </c>
      <c r="G196">
        <v>20251231</v>
      </c>
    </row>
    <row r="197" spans="1:7" x14ac:dyDescent="0.25">
      <c r="A197" t="s">
        <v>398</v>
      </c>
      <c r="B197">
        <v>1057706</v>
      </c>
      <c r="C197" t="s">
        <v>399</v>
      </c>
      <c r="D197">
        <v>6022</v>
      </c>
      <c r="E197">
        <v>1231</v>
      </c>
      <c r="F197" t="s">
        <v>9</v>
      </c>
      <c r="G197">
        <v>20251231</v>
      </c>
    </row>
    <row r="198" spans="1:7" x14ac:dyDescent="0.25">
      <c r="A198" t="s">
        <v>400</v>
      </c>
      <c r="B198">
        <v>1069157</v>
      </c>
      <c r="C198" t="s">
        <v>401</v>
      </c>
      <c r="D198">
        <v>6022</v>
      </c>
      <c r="E198">
        <v>1231</v>
      </c>
      <c r="F198" t="s">
        <v>9</v>
      </c>
      <c r="G198">
        <v>20251231</v>
      </c>
    </row>
    <row r="199" spans="1:7" x14ac:dyDescent="0.25">
      <c r="A199" t="s">
        <v>402</v>
      </c>
      <c r="B199">
        <v>1077428</v>
      </c>
      <c r="C199" t="s">
        <v>403</v>
      </c>
      <c r="D199">
        <v>6022</v>
      </c>
      <c r="E199">
        <v>1231</v>
      </c>
      <c r="F199" t="s">
        <v>9</v>
      </c>
      <c r="G199">
        <v>20251231</v>
      </c>
    </row>
    <row r="200" spans="1:7" x14ac:dyDescent="0.25">
      <c r="A200" t="s">
        <v>404</v>
      </c>
      <c r="B200">
        <v>1265131</v>
      </c>
      <c r="C200" t="s">
        <v>405</v>
      </c>
      <c r="D200">
        <v>6022</v>
      </c>
      <c r="E200">
        <v>1231</v>
      </c>
      <c r="F200" t="s">
        <v>9</v>
      </c>
      <c r="G200">
        <v>20251231</v>
      </c>
    </row>
    <row r="201" spans="1:7" x14ac:dyDescent="0.25">
      <c r="A201" t="s">
        <v>406</v>
      </c>
      <c r="B201">
        <v>764038</v>
      </c>
      <c r="C201" t="s">
        <v>407</v>
      </c>
      <c r="D201">
        <v>6022</v>
      </c>
      <c r="E201">
        <v>1231</v>
      </c>
      <c r="F201" t="s">
        <v>9</v>
      </c>
      <c r="G201">
        <v>20251231</v>
      </c>
    </row>
    <row r="202" spans="1:7" x14ac:dyDescent="0.25">
      <c r="A202" t="s">
        <v>408</v>
      </c>
      <c r="B202">
        <v>1476034</v>
      </c>
      <c r="C202" t="s">
        <v>409</v>
      </c>
      <c r="D202">
        <v>6022</v>
      </c>
      <c r="E202">
        <v>1231</v>
      </c>
      <c r="F202" t="s">
        <v>9</v>
      </c>
      <c r="G202">
        <v>20251231</v>
      </c>
    </row>
    <row r="203" spans="1:7" x14ac:dyDescent="0.25">
      <c r="A203" t="s">
        <v>410</v>
      </c>
      <c r="B203">
        <v>1475841</v>
      </c>
      <c r="C203" t="s">
        <v>411</v>
      </c>
      <c r="D203">
        <v>6021</v>
      </c>
      <c r="E203">
        <v>1231</v>
      </c>
      <c r="F203" t="s">
        <v>9</v>
      </c>
      <c r="G203">
        <v>20251231</v>
      </c>
    </row>
    <row r="204" spans="1:7" x14ac:dyDescent="0.25">
      <c r="A204" t="s">
        <v>412</v>
      </c>
      <c r="B204">
        <v>1341317</v>
      </c>
      <c r="C204" t="s">
        <v>413</v>
      </c>
      <c r="D204">
        <v>6022</v>
      </c>
      <c r="E204">
        <v>1231</v>
      </c>
      <c r="F204" t="s">
        <v>9</v>
      </c>
      <c r="G204">
        <v>20251231</v>
      </c>
    </row>
    <row r="205" spans="1:7" x14ac:dyDescent="0.25">
      <c r="A205" t="s">
        <v>414</v>
      </c>
      <c r="B205">
        <v>357173</v>
      </c>
      <c r="C205" t="s">
        <v>415</v>
      </c>
      <c r="D205">
        <v>6022</v>
      </c>
      <c r="E205">
        <v>1231</v>
      </c>
      <c r="F205" t="s">
        <v>9</v>
      </c>
      <c r="G205">
        <v>20251231</v>
      </c>
    </row>
    <row r="206" spans="1:7" x14ac:dyDescent="0.25">
      <c r="A206" t="s">
        <v>416</v>
      </c>
      <c r="B206">
        <v>315709</v>
      </c>
      <c r="C206" t="s">
        <v>417</v>
      </c>
      <c r="D206">
        <v>6022</v>
      </c>
      <c r="E206">
        <v>1231</v>
      </c>
      <c r="F206" t="s">
        <v>9</v>
      </c>
      <c r="G206">
        <v>20251231</v>
      </c>
    </row>
    <row r="207" spans="1:7" x14ac:dyDescent="0.25">
      <c r="A207" t="s">
        <v>418</v>
      </c>
      <c r="B207">
        <v>1130144</v>
      </c>
      <c r="C207" t="s">
        <v>419</v>
      </c>
      <c r="D207">
        <v>6022</v>
      </c>
      <c r="E207">
        <v>1231</v>
      </c>
      <c r="F207" t="s">
        <v>9</v>
      </c>
      <c r="G207">
        <v>20251231</v>
      </c>
    </row>
    <row r="208" spans="1:7" x14ac:dyDescent="0.25">
      <c r="A208" t="s">
        <v>420</v>
      </c>
      <c r="B208">
        <v>906465</v>
      </c>
      <c r="C208" t="s">
        <v>421</v>
      </c>
      <c r="D208">
        <v>6022</v>
      </c>
      <c r="E208">
        <v>1231</v>
      </c>
      <c r="F208" t="s">
        <v>9</v>
      </c>
      <c r="G208">
        <v>20251231</v>
      </c>
    </row>
    <row r="209" spans="1:7" x14ac:dyDescent="0.25">
      <c r="A209" t="s">
        <v>422</v>
      </c>
      <c r="B209">
        <v>36377</v>
      </c>
      <c r="C209" t="s">
        <v>423</v>
      </c>
      <c r="D209">
        <v>6022</v>
      </c>
      <c r="E209">
        <v>1231</v>
      </c>
      <c r="F209" t="s">
        <v>9</v>
      </c>
      <c r="G209">
        <v>20251231</v>
      </c>
    </row>
    <row r="210" spans="1:7" x14ac:dyDescent="0.25">
      <c r="A210" t="s">
        <v>424</v>
      </c>
      <c r="B210">
        <v>1629019</v>
      </c>
      <c r="C210" t="s">
        <v>425</v>
      </c>
      <c r="D210">
        <v>6022</v>
      </c>
      <c r="E210">
        <v>1231</v>
      </c>
      <c r="F210" t="s">
        <v>9</v>
      </c>
      <c r="G210">
        <v>20251231</v>
      </c>
    </row>
    <row r="211" spans="1:7" x14ac:dyDescent="0.25">
      <c r="A211" t="s">
        <v>426</v>
      </c>
      <c r="B211">
        <v>1746109</v>
      </c>
      <c r="C211" t="s">
        <v>427</v>
      </c>
      <c r="D211">
        <v>6021</v>
      </c>
      <c r="E211">
        <v>1231</v>
      </c>
      <c r="F211" t="s">
        <v>9</v>
      </c>
      <c r="G211">
        <v>20251231</v>
      </c>
    </row>
    <row r="212" spans="1:7" x14ac:dyDescent="0.25">
      <c r="A212" t="s">
        <v>428</v>
      </c>
      <c r="B212">
        <v>723188</v>
      </c>
      <c r="C212" t="s">
        <v>429</v>
      </c>
      <c r="D212">
        <v>6021</v>
      </c>
      <c r="E212">
        <v>1231</v>
      </c>
      <c r="F212" t="s">
        <v>9</v>
      </c>
      <c r="G212">
        <v>20251231</v>
      </c>
    </row>
    <row r="213" spans="1:7" x14ac:dyDescent="0.25">
      <c r="A213" t="s">
        <v>430</v>
      </c>
      <c r="B213">
        <v>1128361</v>
      </c>
      <c r="C213" t="s">
        <v>431</v>
      </c>
      <c r="D213">
        <v>6021</v>
      </c>
      <c r="E213">
        <v>1231</v>
      </c>
      <c r="F213" t="s">
        <v>9</v>
      </c>
      <c r="G213">
        <v>20251231</v>
      </c>
    </row>
    <row r="214" spans="1:7" x14ac:dyDescent="0.25">
      <c r="A214" t="s">
        <v>432</v>
      </c>
      <c r="B214">
        <v>350852</v>
      </c>
      <c r="C214" t="s">
        <v>433</v>
      </c>
      <c r="D214">
        <v>6022</v>
      </c>
      <c r="E214">
        <v>1231</v>
      </c>
      <c r="F214" t="s">
        <v>9</v>
      </c>
      <c r="G214">
        <v>20251231</v>
      </c>
    </row>
    <row r="215" spans="1:7" x14ac:dyDescent="0.25">
      <c r="A215" t="s">
        <v>434</v>
      </c>
      <c r="B215">
        <v>790359</v>
      </c>
      <c r="C215" t="s">
        <v>435</v>
      </c>
      <c r="D215">
        <v>6021</v>
      </c>
      <c r="E215">
        <v>1231</v>
      </c>
      <c r="F215" t="s">
        <v>9</v>
      </c>
      <c r="G215">
        <v>20251231</v>
      </c>
    </row>
    <row r="216" spans="1:7" x14ac:dyDescent="0.25">
      <c r="A216" t="s">
        <v>436</v>
      </c>
      <c r="B216">
        <v>1166928</v>
      </c>
      <c r="C216" t="s">
        <v>437</v>
      </c>
      <c r="D216">
        <v>6022</v>
      </c>
      <c r="E216">
        <v>1231</v>
      </c>
      <c r="F216" t="s">
        <v>9</v>
      </c>
      <c r="G216">
        <v>20251231</v>
      </c>
    </row>
    <row r="217" spans="1:7" x14ac:dyDescent="0.25">
      <c r="A217" t="s">
        <v>438</v>
      </c>
      <c r="B217">
        <v>1430723</v>
      </c>
      <c r="C217" t="s">
        <v>439</v>
      </c>
      <c r="D217">
        <v>6022</v>
      </c>
      <c r="E217">
        <v>1231</v>
      </c>
      <c r="F217" t="s">
        <v>9</v>
      </c>
      <c r="G217">
        <v>20251231</v>
      </c>
    </row>
    <row r="218" spans="1:7" x14ac:dyDescent="0.25">
      <c r="A218" t="s">
        <v>440</v>
      </c>
      <c r="B218">
        <v>311094</v>
      </c>
      <c r="C218" t="s">
        <v>441</v>
      </c>
      <c r="D218">
        <v>6021</v>
      </c>
      <c r="E218">
        <v>1231</v>
      </c>
      <c r="F218" t="s">
        <v>9</v>
      </c>
      <c r="G218">
        <v>20251231</v>
      </c>
    </row>
    <row r="219" spans="1:7" x14ac:dyDescent="0.25">
      <c r="A219" t="s">
        <v>442</v>
      </c>
      <c r="B219">
        <v>1174850</v>
      </c>
      <c r="C219" t="s">
        <v>443</v>
      </c>
      <c r="D219">
        <v>6021</v>
      </c>
      <c r="E219">
        <v>1231</v>
      </c>
      <c r="F219" t="s">
        <v>9</v>
      </c>
      <c r="G219">
        <v>20251231</v>
      </c>
    </row>
    <row r="220" spans="1:7" x14ac:dyDescent="0.25">
      <c r="A220" t="s">
        <v>444</v>
      </c>
      <c r="B220">
        <v>36146</v>
      </c>
      <c r="C220" t="s">
        <v>445</v>
      </c>
      <c r="D220">
        <v>6021</v>
      </c>
      <c r="E220">
        <v>1231</v>
      </c>
      <c r="F220" t="s">
        <v>9</v>
      </c>
      <c r="G220">
        <v>20251231</v>
      </c>
    </row>
    <row r="221" spans="1:7" x14ac:dyDescent="0.25">
      <c r="A221" t="s">
        <v>446</v>
      </c>
      <c r="B221">
        <v>1521951</v>
      </c>
      <c r="C221" t="s">
        <v>447</v>
      </c>
      <c r="D221">
        <v>6022</v>
      </c>
      <c r="E221">
        <v>1231</v>
      </c>
      <c r="F221" t="s">
        <v>9</v>
      </c>
      <c r="G221">
        <v>20251231</v>
      </c>
    </row>
    <row r="222" spans="1:7" x14ac:dyDescent="0.25">
      <c r="A222" t="s">
        <v>448</v>
      </c>
      <c r="B222">
        <v>36029</v>
      </c>
      <c r="C222" t="s">
        <v>449</v>
      </c>
      <c r="D222">
        <v>6022</v>
      </c>
      <c r="E222">
        <v>1231</v>
      </c>
      <c r="F222" t="s">
        <v>9</v>
      </c>
      <c r="G222">
        <v>20251231</v>
      </c>
    </row>
    <row r="223" spans="1:7" x14ac:dyDescent="0.25">
      <c r="A223" t="s">
        <v>450</v>
      </c>
      <c r="B223">
        <v>760498</v>
      </c>
      <c r="C223" t="s">
        <v>451</v>
      </c>
      <c r="D223">
        <v>6021</v>
      </c>
      <c r="E223">
        <v>1231</v>
      </c>
      <c r="F223" t="s">
        <v>9</v>
      </c>
      <c r="G223">
        <v>20251231</v>
      </c>
    </row>
    <row r="224" spans="1:7" x14ac:dyDescent="0.25">
      <c r="A224" t="s">
        <v>452</v>
      </c>
      <c r="B224">
        <v>101382</v>
      </c>
      <c r="C224" t="s">
        <v>453</v>
      </c>
      <c r="D224">
        <v>6021</v>
      </c>
      <c r="E224">
        <v>1231</v>
      </c>
      <c r="F224" t="s">
        <v>9</v>
      </c>
      <c r="G224">
        <v>20251231</v>
      </c>
    </row>
    <row r="225" spans="1:7" x14ac:dyDescent="0.25">
      <c r="A225" t="s">
        <v>454</v>
      </c>
      <c r="B225">
        <v>1068851</v>
      </c>
      <c r="C225" t="s">
        <v>455</v>
      </c>
      <c r="D225">
        <v>6022</v>
      </c>
      <c r="E225">
        <v>1231</v>
      </c>
      <c r="F225" t="s">
        <v>9</v>
      </c>
      <c r="G225">
        <v>20251231</v>
      </c>
    </row>
    <row r="226" spans="1:7" x14ac:dyDescent="0.25">
      <c r="A226" t="s">
        <v>456</v>
      </c>
      <c r="B226">
        <v>750577</v>
      </c>
      <c r="C226" t="s">
        <v>457</v>
      </c>
      <c r="D226">
        <v>6022</v>
      </c>
      <c r="E226">
        <v>1231</v>
      </c>
      <c r="F226" t="s">
        <v>9</v>
      </c>
      <c r="G226">
        <v>20251231</v>
      </c>
    </row>
    <row r="227" spans="1:7" x14ac:dyDescent="0.25">
      <c r="A227" t="s">
        <v>458</v>
      </c>
      <c r="B227">
        <v>700565</v>
      </c>
      <c r="C227" t="s">
        <v>459</v>
      </c>
      <c r="D227">
        <v>6022</v>
      </c>
      <c r="E227">
        <v>1231</v>
      </c>
      <c r="F227" t="s">
        <v>9</v>
      </c>
      <c r="G227">
        <v>20251231</v>
      </c>
    </row>
    <row r="228" spans="1:7" x14ac:dyDescent="0.25">
      <c r="A228" t="s">
        <v>460</v>
      </c>
      <c r="B228">
        <v>729986</v>
      </c>
      <c r="C228" t="s">
        <v>461</v>
      </c>
      <c r="D228">
        <v>6022</v>
      </c>
      <c r="E228">
        <v>1231</v>
      </c>
      <c r="F228" t="s">
        <v>9</v>
      </c>
      <c r="G228">
        <v>20251231</v>
      </c>
    </row>
    <row r="229" spans="1:7" x14ac:dyDescent="0.25">
      <c r="A229" t="s">
        <v>462</v>
      </c>
      <c r="B229">
        <v>1109242</v>
      </c>
      <c r="C229" t="s">
        <v>463</v>
      </c>
      <c r="D229">
        <v>6021</v>
      </c>
      <c r="E229">
        <v>1231</v>
      </c>
      <c r="F229" t="s">
        <v>9</v>
      </c>
      <c r="G229">
        <v>20251231</v>
      </c>
    </row>
    <row r="230" spans="1:7" x14ac:dyDescent="0.25">
      <c r="A230" t="s">
        <v>464</v>
      </c>
      <c r="B230">
        <v>885275</v>
      </c>
      <c r="C230" t="s">
        <v>465</v>
      </c>
      <c r="D230">
        <v>6021</v>
      </c>
      <c r="E230">
        <v>1231</v>
      </c>
      <c r="F230" t="s">
        <v>9</v>
      </c>
      <c r="G230">
        <v>20251231</v>
      </c>
    </row>
    <row r="231" spans="1:7" x14ac:dyDescent="0.25">
      <c r="A231" t="s">
        <v>466</v>
      </c>
      <c r="B231">
        <v>1702750</v>
      </c>
      <c r="C231" t="s">
        <v>467</v>
      </c>
      <c r="D231">
        <v>6022</v>
      </c>
      <c r="E231">
        <v>1231</v>
      </c>
      <c r="F231" t="s">
        <v>9</v>
      </c>
      <c r="G231">
        <v>20251231</v>
      </c>
    </row>
    <row r="232" spans="1:7" x14ac:dyDescent="0.25">
      <c r="A232" t="s">
        <v>468</v>
      </c>
      <c r="B232">
        <v>354647</v>
      </c>
      <c r="C232" t="s">
        <v>469</v>
      </c>
      <c r="D232">
        <v>6022</v>
      </c>
      <c r="E232">
        <v>1231</v>
      </c>
      <c r="F232" t="s">
        <v>9</v>
      </c>
      <c r="G232">
        <v>20251231</v>
      </c>
    </row>
    <row r="233" spans="1:7" x14ac:dyDescent="0.25">
      <c r="A233" t="s">
        <v>470</v>
      </c>
      <c r="B233">
        <v>203596</v>
      </c>
      <c r="C233" t="s">
        <v>471</v>
      </c>
      <c r="D233">
        <v>6021</v>
      </c>
      <c r="E233">
        <v>1231</v>
      </c>
      <c r="F233" t="s">
        <v>9</v>
      </c>
      <c r="G233">
        <v>20251231</v>
      </c>
    </row>
    <row r="234" spans="1:7" x14ac:dyDescent="0.25">
      <c r="A234" t="s">
        <v>472</v>
      </c>
      <c r="B234">
        <v>1090009</v>
      </c>
      <c r="C234" t="s">
        <v>473</v>
      </c>
      <c r="D234">
        <v>6021</v>
      </c>
      <c r="E234">
        <v>1231</v>
      </c>
      <c r="F234" t="s">
        <v>9</v>
      </c>
      <c r="G234">
        <v>20251231</v>
      </c>
    </row>
    <row r="235" spans="1:7" x14ac:dyDescent="0.25">
      <c r="A235" t="s">
        <v>474</v>
      </c>
      <c r="B235">
        <v>1281761</v>
      </c>
      <c r="C235" t="s">
        <v>475</v>
      </c>
      <c r="D235">
        <v>6021</v>
      </c>
      <c r="E235">
        <v>1231</v>
      </c>
      <c r="F235" t="s">
        <v>9</v>
      </c>
      <c r="G235">
        <v>20251231</v>
      </c>
    </row>
    <row r="236" spans="1:7" x14ac:dyDescent="0.25">
      <c r="A236" t="s">
        <v>476</v>
      </c>
      <c r="B236">
        <v>1295401</v>
      </c>
      <c r="C236" t="s">
        <v>477</v>
      </c>
      <c r="D236">
        <v>6021</v>
      </c>
      <c r="E236">
        <v>1231</v>
      </c>
      <c r="F236" t="s">
        <v>9</v>
      </c>
      <c r="G236">
        <v>20251231</v>
      </c>
    </row>
    <row r="237" spans="1:7" x14ac:dyDescent="0.25">
      <c r="A237" t="s">
        <v>478</v>
      </c>
      <c r="B237">
        <v>1331520</v>
      </c>
      <c r="C237" t="s">
        <v>479</v>
      </c>
      <c r="D237">
        <v>6022</v>
      </c>
      <c r="E237">
        <v>1231</v>
      </c>
      <c r="F237" t="s">
        <v>9</v>
      </c>
      <c r="G237">
        <v>20251231</v>
      </c>
    </row>
    <row r="238" spans="1:7" x14ac:dyDescent="0.25">
      <c r="A238" t="s">
        <v>480</v>
      </c>
      <c r="B238">
        <v>1390777</v>
      </c>
      <c r="C238" t="s">
        <v>481</v>
      </c>
      <c r="D238">
        <v>6022</v>
      </c>
      <c r="E238">
        <v>1231</v>
      </c>
      <c r="F238" t="s">
        <v>9</v>
      </c>
      <c r="G238">
        <v>20251231</v>
      </c>
    </row>
    <row r="239" spans="1:7" x14ac:dyDescent="0.25">
      <c r="A239" t="s">
        <v>482</v>
      </c>
      <c r="B239">
        <v>712771</v>
      </c>
      <c r="C239" t="s">
        <v>483</v>
      </c>
      <c r="D239">
        <v>6022</v>
      </c>
      <c r="E239">
        <v>1231</v>
      </c>
      <c r="F239" t="s">
        <v>9</v>
      </c>
      <c r="G239">
        <v>20251231</v>
      </c>
    </row>
    <row r="240" spans="1:7" x14ac:dyDescent="0.25">
      <c r="A240" t="s">
        <v>484</v>
      </c>
      <c r="B240">
        <v>835324</v>
      </c>
      <c r="C240" t="s">
        <v>485</v>
      </c>
      <c r="D240">
        <v>6022</v>
      </c>
      <c r="E240">
        <v>1231</v>
      </c>
      <c r="F240" t="s">
        <v>9</v>
      </c>
      <c r="G240">
        <v>20251231</v>
      </c>
    </row>
    <row r="241" spans="1:7" x14ac:dyDescent="0.25">
      <c r="A241" t="s">
        <v>486</v>
      </c>
      <c r="B241">
        <v>1042729</v>
      </c>
      <c r="C241" t="s">
        <v>487</v>
      </c>
      <c r="D241">
        <v>6022</v>
      </c>
      <c r="E241">
        <v>1231</v>
      </c>
      <c r="F241" t="s">
        <v>9</v>
      </c>
      <c r="G241">
        <v>20251231</v>
      </c>
    </row>
    <row r="242" spans="1:7" x14ac:dyDescent="0.25">
      <c r="A242" t="s">
        <v>488</v>
      </c>
      <c r="B242">
        <v>1437958</v>
      </c>
      <c r="C242" t="s">
        <v>489</v>
      </c>
      <c r="D242">
        <v>6022</v>
      </c>
      <c r="E242">
        <v>1231</v>
      </c>
      <c r="F242" t="s">
        <v>9</v>
      </c>
      <c r="G242">
        <v>20251231</v>
      </c>
    </row>
    <row r="243" spans="1:7" x14ac:dyDescent="0.25">
      <c r="A243" t="s">
        <v>490</v>
      </c>
      <c r="B243">
        <v>1462120</v>
      </c>
      <c r="C243" t="s">
        <v>491</v>
      </c>
      <c r="D243">
        <v>6022</v>
      </c>
      <c r="E243">
        <v>1231</v>
      </c>
      <c r="F243" t="s">
        <v>9</v>
      </c>
      <c r="G243">
        <v>20251231</v>
      </c>
    </row>
    <row r="244" spans="1:7" x14ac:dyDescent="0.25">
      <c r="A244" t="s">
        <v>492</v>
      </c>
      <c r="B244">
        <v>1471265</v>
      </c>
      <c r="C244" t="s">
        <v>493</v>
      </c>
      <c r="D244">
        <v>6021</v>
      </c>
      <c r="E244">
        <v>1231</v>
      </c>
      <c r="F244" t="s">
        <v>9</v>
      </c>
      <c r="G244">
        <v>20251231</v>
      </c>
    </row>
    <row r="245" spans="1:7" x14ac:dyDescent="0.25">
      <c r="A245" t="s">
        <v>494</v>
      </c>
      <c r="B245">
        <v>1473844</v>
      </c>
      <c r="C245" t="s">
        <v>495</v>
      </c>
      <c r="D245">
        <v>6021</v>
      </c>
      <c r="E245">
        <v>1231</v>
      </c>
      <c r="F245" t="s">
        <v>9</v>
      </c>
      <c r="G245">
        <v>20251231</v>
      </c>
    </row>
    <row r="246" spans="1:7" x14ac:dyDescent="0.25">
      <c r="A246" t="s">
        <v>496</v>
      </c>
      <c r="B246">
        <v>1488813</v>
      </c>
      <c r="C246" t="s">
        <v>497</v>
      </c>
      <c r="D246">
        <v>6022</v>
      </c>
      <c r="E246">
        <v>1231</v>
      </c>
      <c r="F246" t="s">
        <v>9</v>
      </c>
      <c r="G246">
        <v>20251231</v>
      </c>
    </row>
    <row r="247" spans="1:7" x14ac:dyDescent="0.25">
      <c r="A247" t="s">
        <v>498</v>
      </c>
      <c r="B247">
        <v>1288855</v>
      </c>
      <c r="C247" t="s">
        <v>499</v>
      </c>
      <c r="D247">
        <v>6021</v>
      </c>
      <c r="E247">
        <v>1231</v>
      </c>
      <c r="F247" t="s">
        <v>9</v>
      </c>
      <c r="G247">
        <v>20251231</v>
      </c>
    </row>
    <row r="248" spans="1:7" x14ac:dyDescent="0.25">
      <c r="A248" t="s">
        <v>500</v>
      </c>
      <c r="B248">
        <v>1516912</v>
      </c>
      <c r="C248" t="s">
        <v>501</v>
      </c>
      <c r="D248">
        <v>6022</v>
      </c>
      <c r="E248">
        <v>1231</v>
      </c>
      <c r="F248" t="s">
        <v>9</v>
      </c>
      <c r="G248">
        <v>20251231</v>
      </c>
    </row>
    <row r="249" spans="1:7" x14ac:dyDescent="0.25">
      <c r="A249" t="s">
        <v>502</v>
      </c>
      <c r="B249">
        <v>1539638</v>
      </c>
      <c r="C249" t="s">
        <v>503</v>
      </c>
      <c r="D249">
        <v>6022</v>
      </c>
      <c r="E249">
        <v>1231</v>
      </c>
      <c r="F249" t="s">
        <v>9</v>
      </c>
      <c r="G249">
        <v>20251231</v>
      </c>
    </row>
    <row r="250" spans="1:7" x14ac:dyDescent="0.25">
      <c r="A250" t="s">
        <v>504</v>
      </c>
      <c r="B250">
        <v>1624322</v>
      </c>
      <c r="C250" t="s">
        <v>505</v>
      </c>
      <c r="D250">
        <v>6022</v>
      </c>
      <c r="E250">
        <v>1231</v>
      </c>
      <c r="F250" t="s">
        <v>9</v>
      </c>
      <c r="G250">
        <v>20251231</v>
      </c>
    </row>
    <row r="251" spans="1:7" x14ac:dyDescent="0.25">
      <c r="A251" t="s">
        <v>506</v>
      </c>
      <c r="B251">
        <v>19617</v>
      </c>
      <c r="C251" t="s">
        <v>507</v>
      </c>
      <c r="D251">
        <v>6021</v>
      </c>
      <c r="E251">
        <v>1231</v>
      </c>
      <c r="F251" t="s">
        <v>9</v>
      </c>
      <c r="G251">
        <v>20251231</v>
      </c>
    </row>
    <row r="252" spans="1:7" x14ac:dyDescent="0.25">
      <c r="A252" t="s">
        <v>508</v>
      </c>
      <c r="B252">
        <v>1212545</v>
      </c>
      <c r="C252" t="s">
        <v>509</v>
      </c>
      <c r="D252">
        <v>6022</v>
      </c>
      <c r="E252">
        <v>1231</v>
      </c>
      <c r="F252" t="s">
        <v>9</v>
      </c>
      <c r="G252">
        <v>20251231</v>
      </c>
    </row>
    <row r="253" spans="1:7" x14ac:dyDescent="0.25">
      <c r="A253" t="s">
        <v>510</v>
      </c>
      <c r="B253">
        <v>91576</v>
      </c>
      <c r="C253" t="s">
        <v>511</v>
      </c>
      <c r="D253">
        <v>6021</v>
      </c>
      <c r="E253">
        <v>1231</v>
      </c>
      <c r="F253" t="s">
        <v>9</v>
      </c>
      <c r="G253">
        <v>20251231</v>
      </c>
    </row>
    <row r="254" spans="1:7" x14ac:dyDescent="0.25">
      <c r="A254" t="s">
        <v>512</v>
      </c>
      <c r="B254">
        <v>90498</v>
      </c>
      <c r="C254" t="s">
        <v>513</v>
      </c>
      <c r="D254">
        <v>6021</v>
      </c>
      <c r="E254">
        <v>1231</v>
      </c>
      <c r="F254" t="s">
        <v>9</v>
      </c>
      <c r="G254">
        <v>20251231</v>
      </c>
    </row>
    <row r="255" spans="1:7" x14ac:dyDescent="0.25">
      <c r="A255" t="s">
        <v>514</v>
      </c>
      <c r="B255">
        <v>1275168</v>
      </c>
      <c r="C255" t="s">
        <v>515</v>
      </c>
      <c r="D255">
        <v>6022</v>
      </c>
      <c r="E255">
        <v>1231</v>
      </c>
      <c r="F255" t="s">
        <v>9</v>
      </c>
      <c r="G255">
        <v>20251231</v>
      </c>
    </row>
    <row r="256" spans="1:7" x14ac:dyDescent="0.25">
      <c r="A256" t="s">
        <v>516</v>
      </c>
      <c r="B256">
        <v>730708</v>
      </c>
      <c r="C256" t="s">
        <v>517</v>
      </c>
      <c r="D256">
        <v>6022</v>
      </c>
      <c r="E256">
        <v>1231</v>
      </c>
      <c r="F256" t="s">
        <v>9</v>
      </c>
      <c r="G256">
        <v>20251231</v>
      </c>
    </row>
    <row r="257" spans="1:7" x14ac:dyDescent="0.25">
      <c r="A257" t="s">
        <v>518</v>
      </c>
      <c r="B257">
        <v>1327607</v>
      </c>
      <c r="C257" t="s">
        <v>519</v>
      </c>
      <c r="D257">
        <v>6022</v>
      </c>
      <c r="E257">
        <v>1231</v>
      </c>
      <c r="F257" t="s">
        <v>9</v>
      </c>
      <c r="G257">
        <v>20251231</v>
      </c>
    </row>
    <row r="258" spans="1:7" x14ac:dyDescent="0.25">
      <c r="A258" t="s">
        <v>520</v>
      </c>
      <c r="B258">
        <v>1169770</v>
      </c>
      <c r="C258" t="s">
        <v>521</v>
      </c>
      <c r="D258">
        <v>6021</v>
      </c>
      <c r="E258">
        <v>1231</v>
      </c>
      <c r="F258" t="s">
        <v>9</v>
      </c>
      <c r="G258">
        <v>20251231</v>
      </c>
    </row>
    <row r="259" spans="1:7" x14ac:dyDescent="0.25">
      <c r="A259" t="s">
        <v>522</v>
      </c>
      <c r="B259">
        <v>1649749</v>
      </c>
      <c r="C259" t="s">
        <v>523</v>
      </c>
      <c r="D259">
        <v>6022</v>
      </c>
      <c r="E259">
        <v>1231</v>
      </c>
      <c r="F259" t="s">
        <v>9</v>
      </c>
      <c r="G259">
        <v>20251231</v>
      </c>
    </row>
    <row r="260" spans="1:7" x14ac:dyDescent="0.25">
      <c r="A260" t="s">
        <v>524</v>
      </c>
      <c r="B260">
        <v>1734342</v>
      </c>
      <c r="C260" t="s">
        <v>525</v>
      </c>
      <c r="D260">
        <v>6021</v>
      </c>
      <c r="E260">
        <v>1231</v>
      </c>
      <c r="F260" t="s">
        <v>9</v>
      </c>
      <c r="G260">
        <v>20251231</v>
      </c>
    </row>
    <row r="261" spans="1:7" x14ac:dyDescent="0.25">
      <c r="A261" t="s">
        <v>526</v>
      </c>
      <c r="B261">
        <v>1964333</v>
      </c>
      <c r="C261" t="s">
        <v>527</v>
      </c>
      <c r="D261">
        <v>6021</v>
      </c>
      <c r="E261">
        <v>1231</v>
      </c>
      <c r="F261" t="s">
        <v>9</v>
      </c>
      <c r="G261">
        <v>20251231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C999-4187-43CB-BAB4-58A18A994D08}">
  <dimension ref="A3:I263"/>
  <sheetViews>
    <sheetView workbookViewId="0">
      <selection activeCell="B4" sqref="B4"/>
    </sheetView>
  </sheetViews>
  <sheetFormatPr defaultRowHeight="15" x14ac:dyDescent="0.25"/>
  <cols>
    <col min="1" max="1" width="20.7109375" bestFit="1" customWidth="1"/>
    <col min="2" max="2" width="16.28515625" bestFit="1" customWidth="1"/>
    <col min="3" max="3" width="21.140625" bestFit="1" customWidth="1"/>
    <col min="4" max="4" width="35.85546875" bestFit="1" customWidth="1"/>
    <col min="5" max="5" width="23.85546875" bestFit="1" customWidth="1"/>
    <col min="6" max="6" width="12" bestFit="1" customWidth="1"/>
    <col min="7" max="7" width="14.7109375" bestFit="1" customWidth="1"/>
    <col min="8" max="8" width="18.28515625" bestFit="1" customWidth="1"/>
    <col min="9" max="9" width="12" bestFit="1" customWidth="1"/>
  </cols>
  <sheetData>
    <row r="3" spans="1:9" x14ac:dyDescent="0.25">
      <c r="A3" s="1" t="s">
        <v>549</v>
      </c>
      <c r="B3" s="1" t="s">
        <v>550</v>
      </c>
    </row>
    <row r="4" spans="1:9" x14ac:dyDescent="0.25">
      <c r="A4" s="1" t="s">
        <v>547</v>
      </c>
      <c r="B4" t="s">
        <v>540</v>
      </c>
      <c r="C4" t="s">
        <v>542</v>
      </c>
      <c r="D4" t="s">
        <v>541</v>
      </c>
      <c r="E4" t="s">
        <v>545</v>
      </c>
      <c r="F4" t="s">
        <v>536</v>
      </c>
      <c r="G4" t="s">
        <v>543</v>
      </c>
      <c r="H4" t="s">
        <v>544</v>
      </c>
      <c r="I4" t="s">
        <v>548</v>
      </c>
    </row>
    <row r="5" spans="1:9" x14ac:dyDescent="0.25">
      <c r="A5" s="2" t="s">
        <v>270</v>
      </c>
      <c r="B5">
        <v>45202596000</v>
      </c>
      <c r="C5">
        <v>2.79</v>
      </c>
      <c r="D5">
        <v>2172756000</v>
      </c>
      <c r="F5">
        <v>40227249000</v>
      </c>
      <c r="G5">
        <v>474777000</v>
      </c>
      <c r="H5">
        <v>4975347000</v>
      </c>
      <c r="I5">
        <v>93052725002.790009</v>
      </c>
    </row>
    <row r="6" spans="1:9" x14ac:dyDescent="0.25">
      <c r="A6" s="2" t="s">
        <v>272</v>
      </c>
      <c r="B6">
        <v>32915089000</v>
      </c>
      <c r="C6">
        <v>4.04</v>
      </c>
      <c r="D6">
        <v>1483723000</v>
      </c>
      <c r="F6">
        <v>29100317000</v>
      </c>
      <c r="G6">
        <v>566251000</v>
      </c>
      <c r="H6">
        <v>3791371000</v>
      </c>
      <c r="I6">
        <v>67856751004.040001</v>
      </c>
    </row>
    <row r="7" spans="1:9" x14ac:dyDescent="0.25">
      <c r="A7" s="2" t="s">
        <v>274</v>
      </c>
      <c r="B7">
        <v>9055270000</v>
      </c>
      <c r="C7">
        <v>6.41</v>
      </c>
      <c r="D7">
        <v>514394000</v>
      </c>
      <c r="F7">
        <v>7737180000</v>
      </c>
      <c r="H7">
        <v>1274971000</v>
      </c>
      <c r="I7">
        <v>18581815006.41</v>
      </c>
    </row>
    <row r="8" spans="1:9" x14ac:dyDescent="0.25">
      <c r="A8" s="2" t="s">
        <v>276</v>
      </c>
      <c r="B8">
        <v>214376000000</v>
      </c>
      <c r="C8">
        <v>3.56</v>
      </c>
      <c r="D8">
        <v>9903000000</v>
      </c>
      <c r="F8">
        <v>192652000000</v>
      </c>
      <c r="G8">
        <v>2522000000</v>
      </c>
      <c r="H8">
        <v>21724000000</v>
      </c>
      <c r="I8">
        <v>441177000003.56</v>
      </c>
    </row>
    <row r="9" spans="1:9" x14ac:dyDescent="0.25">
      <c r="A9" s="2" t="s">
        <v>278</v>
      </c>
      <c r="B9">
        <v>692345000000</v>
      </c>
      <c r="C9">
        <v>4.62</v>
      </c>
      <c r="D9">
        <v>30970000000</v>
      </c>
      <c r="F9">
        <v>626694000000</v>
      </c>
      <c r="G9">
        <v>7570000000</v>
      </c>
      <c r="H9">
        <v>65193000000</v>
      </c>
      <c r="I9">
        <v>1422772000004.6201</v>
      </c>
    </row>
    <row r="10" spans="1:9" x14ac:dyDescent="0.25">
      <c r="A10" s="2" t="s">
        <v>280</v>
      </c>
      <c r="B10">
        <v>213510000000</v>
      </c>
      <c r="C10">
        <v>17.100000000000001</v>
      </c>
      <c r="D10">
        <v>10486000000</v>
      </c>
      <c r="F10">
        <v>184333000000</v>
      </c>
      <c r="G10">
        <v>2851000000</v>
      </c>
      <c r="H10">
        <v>29177000000</v>
      </c>
      <c r="I10">
        <v>440357000017.09998</v>
      </c>
    </row>
    <row r="11" spans="1:9" x14ac:dyDescent="0.25">
      <c r="A11" s="2" t="s">
        <v>282</v>
      </c>
      <c r="B11">
        <v>83876000000</v>
      </c>
      <c r="C11">
        <v>1.89</v>
      </c>
      <c r="E11">
        <v>4186000000</v>
      </c>
      <c r="F11">
        <v>74734000000</v>
      </c>
      <c r="G11">
        <v>982000000</v>
      </c>
      <c r="H11">
        <v>8847000000</v>
      </c>
      <c r="I11">
        <v>172625000001.89001</v>
      </c>
    </row>
    <row r="12" spans="1:9" x14ac:dyDescent="0.25">
      <c r="A12" s="2" t="s">
        <v>284</v>
      </c>
      <c r="B12">
        <v>50229000000</v>
      </c>
      <c r="C12">
        <v>1.57</v>
      </c>
      <c r="D12">
        <v>2326000000</v>
      </c>
      <c r="F12">
        <v>43470000000</v>
      </c>
      <c r="G12">
        <v>565000000</v>
      </c>
      <c r="H12">
        <v>6759000000</v>
      </c>
      <c r="I12">
        <v>103349000001.57001</v>
      </c>
    </row>
    <row r="13" spans="1:9" x14ac:dyDescent="0.25">
      <c r="A13" s="2" t="s">
        <v>286</v>
      </c>
      <c r="B13">
        <v>53041424000</v>
      </c>
      <c r="C13">
        <v>9.92</v>
      </c>
      <c r="D13">
        <v>2420747000</v>
      </c>
      <c r="F13">
        <v>48468388000</v>
      </c>
      <c r="G13">
        <v>648557000</v>
      </c>
      <c r="H13">
        <v>4573036000</v>
      </c>
      <c r="I13">
        <v>109152152009.92</v>
      </c>
    </row>
    <row r="14" spans="1:9" x14ac:dyDescent="0.25">
      <c r="A14" s="2" t="s">
        <v>7</v>
      </c>
      <c r="B14">
        <v>5505720000</v>
      </c>
      <c r="C14">
        <v>3.3</v>
      </c>
      <c r="D14">
        <v>269737000</v>
      </c>
      <c r="F14">
        <v>5002769000</v>
      </c>
      <c r="G14">
        <v>68541000</v>
      </c>
      <c r="H14">
        <v>502951000</v>
      </c>
      <c r="I14">
        <v>11349718003.299999</v>
      </c>
    </row>
    <row r="15" spans="1:9" x14ac:dyDescent="0.25">
      <c r="A15" s="2" t="s">
        <v>288</v>
      </c>
      <c r="B15">
        <v>196002000000</v>
      </c>
      <c r="C15">
        <v>2.39</v>
      </c>
      <c r="F15">
        <v>180504000000</v>
      </c>
      <c r="G15">
        <v>852000000</v>
      </c>
      <c r="H15">
        <v>15498000000</v>
      </c>
      <c r="I15">
        <v>392856000002.39001</v>
      </c>
    </row>
    <row r="16" spans="1:9" x14ac:dyDescent="0.25">
      <c r="A16" s="2" t="s">
        <v>290</v>
      </c>
      <c r="B16">
        <v>24176364000</v>
      </c>
      <c r="C16">
        <v>4.67</v>
      </c>
      <c r="D16">
        <v>887823000</v>
      </c>
      <c r="F16">
        <v>22325152000</v>
      </c>
      <c r="G16">
        <v>205902000</v>
      </c>
      <c r="H16">
        <v>1851212000</v>
      </c>
      <c r="I16">
        <v>49446453004.669998</v>
      </c>
    </row>
    <row r="17" spans="1:9" x14ac:dyDescent="0.25">
      <c r="A17" s="2" t="s">
        <v>292</v>
      </c>
      <c r="B17">
        <v>225106000000</v>
      </c>
      <c r="C17">
        <v>1.41</v>
      </c>
      <c r="D17">
        <v>10310000000</v>
      </c>
      <c r="F17">
        <v>200727000000</v>
      </c>
      <c r="G17">
        <v>2211000000</v>
      </c>
      <c r="H17">
        <v>24342000000</v>
      </c>
      <c r="I17">
        <v>462696000001.41003</v>
      </c>
    </row>
    <row r="18" spans="1:9" x14ac:dyDescent="0.25">
      <c r="A18" s="2" t="s">
        <v>294</v>
      </c>
      <c r="B18">
        <v>3411738000000</v>
      </c>
      <c r="C18">
        <v>3.86</v>
      </c>
      <c r="D18">
        <v>138566000000</v>
      </c>
      <c r="F18">
        <v>3108495000000</v>
      </c>
      <c r="G18">
        <v>30509000000</v>
      </c>
      <c r="H18">
        <v>303243000000</v>
      </c>
      <c r="I18">
        <v>6992551000003.8594</v>
      </c>
    </row>
    <row r="19" spans="1:9" x14ac:dyDescent="0.25">
      <c r="A19" s="2" t="s">
        <v>296</v>
      </c>
      <c r="B19">
        <v>2148631000000</v>
      </c>
      <c r="C19">
        <v>6.34</v>
      </c>
      <c r="D19">
        <v>87314000000</v>
      </c>
      <c r="F19">
        <v>1965593000000</v>
      </c>
      <c r="G19">
        <v>21338000000</v>
      </c>
      <c r="H19">
        <v>181117000000</v>
      </c>
      <c r="I19">
        <v>4403993000006.3398</v>
      </c>
    </row>
    <row r="20" spans="1:9" x14ac:dyDescent="0.25">
      <c r="A20" s="2" t="s">
        <v>298</v>
      </c>
      <c r="B20">
        <v>177132700000</v>
      </c>
      <c r="C20">
        <v>8.7799999999999994</v>
      </c>
      <c r="D20">
        <v>8624600000</v>
      </c>
      <c r="F20">
        <v>164174800000</v>
      </c>
      <c r="G20">
        <v>1736900000</v>
      </c>
      <c r="H20">
        <v>12957900000</v>
      </c>
      <c r="I20">
        <v>364626900008.78003</v>
      </c>
    </row>
    <row r="21" spans="1:9" x14ac:dyDescent="0.25">
      <c r="A21" s="2" t="s">
        <v>300</v>
      </c>
      <c r="B21">
        <v>172410000000</v>
      </c>
      <c r="D21">
        <v>7502000000</v>
      </c>
      <c r="F21">
        <v>159971000000</v>
      </c>
      <c r="G21">
        <v>1101000000</v>
      </c>
      <c r="H21">
        <v>12439000000</v>
      </c>
      <c r="I21">
        <v>353423000000</v>
      </c>
    </row>
    <row r="22" spans="1:9" x14ac:dyDescent="0.25">
      <c r="A22" s="2" t="s">
        <v>302</v>
      </c>
      <c r="B22">
        <v>547538000000</v>
      </c>
      <c r="C22">
        <v>3.87</v>
      </c>
      <c r="D22">
        <v>24542000000</v>
      </c>
      <c r="F22">
        <v>482349000000</v>
      </c>
      <c r="H22">
        <v>65189000000</v>
      </c>
      <c r="I22">
        <v>1119618000003.8701</v>
      </c>
    </row>
    <row r="23" spans="1:9" x14ac:dyDescent="0.25">
      <c r="A23" s="2" t="s">
        <v>304</v>
      </c>
      <c r="B23">
        <v>366047000000</v>
      </c>
      <c r="C23">
        <v>9.5500000000000007</v>
      </c>
      <c r="D23">
        <v>11644000000</v>
      </c>
      <c r="F23">
        <v>338206000000</v>
      </c>
      <c r="G23">
        <v>2945000000</v>
      </c>
      <c r="H23">
        <v>27841000000</v>
      </c>
      <c r="I23">
        <v>746683000009.55005</v>
      </c>
    </row>
    <row r="24" spans="1:9" x14ac:dyDescent="0.25">
      <c r="A24" s="2" t="s">
        <v>306</v>
      </c>
      <c r="B24">
        <v>8436897000</v>
      </c>
      <c r="C24">
        <v>3.16</v>
      </c>
      <c r="D24">
        <v>430486000</v>
      </c>
      <c r="F24">
        <v>7493579000</v>
      </c>
      <c r="G24">
        <v>90757000</v>
      </c>
      <c r="H24">
        <v>943318000</v>
      </c>
      <c r="I24">
        <v>17395037003.16</v>
      </c>
    </row>
    <row r="25" spans="1:9" x14ac:dyDescent="0.25">
      <c r="A25" s="2" t="s">
        <v>308</v>
      </c>
      <c r="B25">
        <v>88990000000</v>
      </c>
      <c r="C25">
        <v>6.01</v>
      </c>
      <c r="D25">
        <v>4184000000</v>
      </c>
      <c r="F25">
        <v>81810000000</v>
      </c>
      <c r="G25">
        <v>899000000</v>
      </c>
      <c r="H25">
        <v>7180000000</v>
      </c>
      <c r="I25">
        <v>183063000006.01001</v>
      </c>
    </row>
    <row r="26" spans="1:9" x14ac:dyDescent="0.25">
      <c r="A26" s="2" t="s">
        <v>310</v>
      </c>
      <c r="B26">
        <v>18104736000</v>
      </c>
      <c r="C26">
        <v>1.49</v>
      </c>
      <c r="D26">
        <v>893860000</v>
      </c>
      <c r="F26">
        <v>15635754000</v>
      </c>
      <c r="G26">
        <v>135262000</v>
      </c>
      <c r="H26">
        <v>2468982000</v>
      </c>
      <c r="I26">
        <v>37238594001.490005</v>
      </c>
    </row>
    <row r="27" spans="1:9" x14ac:dyDescent="0.25">
      <c r="A27" s="2" t="s">
        <v>312</v>
      </c>
      <c r="B27">
        <v>9649630000</v>
      </c>
      <c r="C27">
        <v>3.03</v>
      </c>
      <c r="D27">
        <v>514306000</v>
      </c>
      <c r="F27">
        <v>8443028000</v>
      </c>
      <c r="G27">
        <v>106778000</v>
      </c>
      <c r="H27">
        <v>1206602000</v>
      </c>
      <c r="I27">
        <v>19920344003.029999</v>
      </c>
    </row>
    <row r="28" spans="1:9" x14ac:dyDescent="0.25">
      <c r="A28" s="2" t="s">
        <v>314</v>
      </c>
      <c r="B28">
        <v>27515879000</v>
      </c>
      <c r="C28">
        <v>6.02</v>
      </c>
      <c r="D28">
        <v>1394525000</v>
      </c>
      <c r="F28">
        <v>23439851000</v>
      </c>
      <c r="G28">
        <v>412154000</v>
      </c>
      <c r="H28">
        <v>4076028000</v>
      </c>
      <c r="I28">
        <v>56838437006.020004</v>
      </c>
    </row>
    <row r="29" spans="1:9" x14ac:dyDescent="0.25">
      <c r="A29" s="2" t="s">
        <v>316</v>
      </c>
      <c r="B29">
        <v>9822063000</v>
      </c>
      <c r="C29">
        <v>3.72</v>
      </c>
      <c r="D29">
        <v>470572000</v>
      </c>
      <c r="F29">
        <v>8494062000</v>
      </c>
      <c r="G29">
        <v>121558000</v>
      </c>
      <c r="H29">
        <v>1328001000</v>
      </c>
      <c r="I29">
        <v>20236256003.720001</v>
      </c>
    </row>
    <row r="30" spans="1:9" x14ac:dyDescent="0.25">
      <c r="A30" s="2" t="s">
        <v>318</v>
      </c>
      <c r="B30">
        <v>32118400000</v>
      </c>
      <c r="C30">
        <v>2.1</v>
      </c>
      <c r="D30">
        <v>1616874000</v>
      </c>
      <c r="F30">
        <v>28627953000</v>
      </c>
      <c r="G30">
        <v>391609000</v>
      </c>
      <c r="H30">
        <v>3490447000</v>
      </c>
      <c r="I30">
        <v>66245283002.099998</v>
      </c>
    </row>
    <row r="31" spans="1:9" x14ac:dyDescent="0.25">
      <c r="A31" s="2" t="s">
        <v>320</v>
      </c>
      <c r="B31">
        <v>7409241000</v>
      </c>
      <c r="C31">
        <v>2.88</v>
      </c>
      <c r="D31">
        <v>314162000</v>
      </c>
      <c r="F31">
        <v>6816660000</v>
      </c>
      <c r="G31">
        <v>77480000</v>
      </c>
      <c r="H31">
        <v>592581000</v>
      </c>
      <c r="I31">
        <v>15210124002.880001</v>
      </c>
    </row>
    <row r="32" spans="1:9" x14ac:dyDescent="0.25">
      <c r="A32" s="2" t="s">
        <v>322</v>
      </c>
      <c r="B32">
        <v>8514590000</v>
      </c>
      <c r="C32">
        <v>2.2999999999999998</v>
      </c>
      <c r="D32">
        <v>403074000</v>
      </c>
      <c r="F32">
        <v>7666975000</v>
      </c>
      <c r="G32">
        <v>69220000</v>
      </c>
      <c r="H32">
        <v>847615000</v>
      </c>
      <c r="I32">
        <v>17501474002.299999</v>
      </c>
    </row>
    <row r="33" spans="1:9" x14ac:dyDescent="0.25">
      <c r="A33" s="2" t="s">
        <v>10</v>
      </c>
      <c r="B33">
        <v>6436611000</v>
      </c>
      <c r="C33">
        <v>-3.24</v>
      </c>
      <c r="D33">
        <v>362777000</v>
      </c>
      <c r="F33">
        <v>5748360000</v>
      </c>
      <c r="G33">
        <v>-150482000</v>
      </c>
      <c r="H33">
        <v>688251000</v>
      </c>
      <c r="I33">
        <v>13085516996.76</v>
      </c>
    </row>
    <row r="34" spans="1:9" x14ac:dyDescent="0.25">
      <c r="A34" s="2" t="s">
        <v>12</v>
      </c>
      <c r="B34">
        <v>1617191000</v>
      </c>
      <c r="C34">
        <v>2.4300000000000002</v>
      </c>
      <c r="D34">
        <v>75788000</v>
      </c>
      <c r="F34">
        <v>1536327000</v>
      </c>
      <c r="G34">
        <v>11080000</v>
      </c>
      <c r="H34">
        <v>80864000</v>
      </c>
      <c r="I34">
        <v>3321250002.4300003</v>
      </c>
    </row>
    <row r="35" spans="1:9" x14ac:dyDescent="0.25">
      <c r="A35" s="2" t="s">
        <v>324</v>
      </c>
      <c r="B35">
        <v>72151967000</v>
      </c>
      <c r="C35">
        <v>1.8</v>
      </c>
      <c r="D35">
        <v>3269853000</v>
      </c>
      <c r="F35">
        <v>63657179000</v>
      </c>
      <c r="G35">
        <v>669257000</v>
      </c>
      <c r="H35">
        <v>8494788000</v>
      </c>
      <c r="I35">
        <v>148243044001.79999</v>
      </c>
    </row>
    <row r="36" spans="1:9" x14ac:dyDescent="0.25">
      <c r="A36" s="2" t="s">
        <v>326</v>
      </c>
      <c r="B36">
        <v>21129379000</v>
      </c>
      <c r="C36">
        <v>2.68</v>
      </c>
      <c r="D36">
        <v>1001904000</v>
      </c>
      <c r="F36">
        <v>18360163000</v>
      </c>
      <c r="G36">
        <v>255605000</v>
      </c>
      <c r="H36">
        <v>2769216000</v>
      </c>
      <c r="I36">
        <v>43516267002.68</v>
      </c>
    </row>
    <row r="37" spans="1:9" x14ac:dyDescent="0.25">
      <c r="A37" s="2" t="s">
        <v>14</v>
      </c>
      <c r="B37">
        <v>3735401000</v>
      </c>
      <c r="C37">
        <v>1.59</v>
      </c>
      <c r="D37">
        <v>149952000</v>
      </c>
      <c r="E37">
        <v>19436000</v>
      </c>
      <c r="F37">
        <v>3359481000</v>
      </c>
      <c r="G37">
        <v>28253000</v>
      </c>
      <c r="H37">
        <v>375920000</v>
      </c>
      <c r="I37">
        <v>7668443001.5900002</v>
      </c>
    </row>
    <row r="38" spans="1:9" x14ac:dyDescent="0.25">
      <c r="A38" s="2" t="s">
        <v>328</v>
      </c>
      <c r="B38">
        <v>19025101000</v>
      </c>
      <c r="C38">
        <v>3.9</v>
      </c>
      <c r="D38">
        <v>924792000</v>
      </c>
      <c r="F38">
        <v>16558434000</v>
      </c>
      <c r="G38">
        <v>226001000</v>
      </c>
      <c r="H38">
        <v>2466667000</v>
      </c>
      <c r="I38">
        <v>39200995003.900002</v>
      </c>
    </row>
    <row r="39" spans="1:9" x14ac:dyDescent="0.25">
      <c r="A39" s="2" t="s">
        <v>330</v>
      </c>
      <c r="B39">
        <v>12343036000</v>
      </c>
      <c r="C39">
        <v>1.48</v>
      </c>
      <c r="D39">
        <v>632688000</v>
      </c>
      <c r="F39">
        <v>10788660000</v>
      </c>
      <c r="G39">
        <v>152302000</v>
      </c>
      <c r="H39">
        <v>1554376000</v>
      </c>
      <c r="I39">
        <v>25471062001.48</v>
      </c>
    </row>
    <row r="40" spans="1:9" x14ac:dyDescent="0.25">
      <c r="A40" s="2" t="s">
        <v>332</v>
      </c>
      <c r="B40">
        <v>573572000000</v>
      </c>
      <c r="C40">
        <v>16.600000000000001</v>
      </c>
      <c r="D40">
        <v>25307000000</v>
      </c>
      <c r="F40">
        <v>512936000000</v>
      </c>
      <c r="H40">
        <v>60585000000</v>
      </c>
      <c r="I40">
        <v>1172400000016.6001</v>
      </c>
    </row>
    <row r="41" spans="1:9" x14ac:dyDescent="0.25">
      <c r="A41" s="2" t="s">
        <v>334</v>
      </c>
      <c r="B41">
        <v>64132725000</v>
      </c>
      <c r="C41">
        <v>1.02</v>
      </c>
      <c r="D41">
        <v>3232484000</v>
      </c>
      <c r="F41">
        <v>56325027000</v>
      </c>
      <c r="G41">
        <v>597983000</v>
      </c>
      <c r="H41">
        <v>7807698000</v>
      </c>
      <c r="I41">
        <v>132095917001.01999</v>
      </c>
    </row>
    <row r="42" spans="1:9" x14ac:dyDescent="0.25">
      <c r="A42" s="2" t="s">
        <v>336</v>
      </c>
      <c r="B42">
        <v>8388780000</v>
      </c>
      <c r="C42">
        <v>3.06</v>
      </c>
      <c r="D42">
        <v>420089000</v>
      </c>
      <c r="F42">
        <v>7226455000</v>
      </c>
      <c r="G42">
        <v>112635000</v>
      </c>
      <c r="H42">
        <v>1162325000</v>
      </c>
      <c r="I42">
        <v>17310284003.060001</v>
      </c>
    </row>
    <row r="43" spans="1:9" x14ac:dyDescent="0.25">
      <c r="A43" s="2" t="s">
        <v>16</v>
      </c>
      <c r="B43">
        <v>5756126000</v>
      </c>
      <c r="C43">
        <v>6.68</v>
      </c>
      <c r="D43">
        <v>305588000</v>
      </c>
      <c r="F43">
        <v>5105257000</v>
      </c>
      <c r="G43">
        <v>79208000</v>
      </c>
      <c r="H43">
        <v>650869000</v>
      </c>
      <c r="I43">
        <v>11897048006.68</v>
      </c>
    </row>
    <row r="44" spans="1:9" x14ac:dyDescent="0.25">
      <c r="A44" s="2" t="s">
        <v>338</v>
      </c>
      <c r="B44">
        <v>26751426000</v>
      </c>
      <c r="C44">
        <v>2.09</v>
      </c>
      <c r="D44">
        <v>1262259000</v>
      </c>
      <c r="F44">
        <v>22866521000</v>
      </c>
      <c r="G44">
        <v>181272000</v>
      </c>
      <c r="H44">
        <v>3884905000</v>
      </c>
      <c r="I44">
        <v>54946383002.089996</v>
      </c>
    </row>
    <row r="45" spans="1:9" x14ac:dyDescent="0.25">
      <c r="A45" s="2" t="s">
        <v>18</v>
      </c>
      <c r="B45">
        <v>4445862000</v>
      </c>
      <c r="C45">
        <v>2.65</v>
      </c>
      <c r="F45">
        <v>4014010000</v>
      </c>
      <c r="G45">
        <v>43953000</v>
      </c>
      <c r="H45">
        <v>431852000</v>
      </c>
      <c r="I45">
        <v>8935677002.6499996</v>
      </c>
    </row>
    <row r="46" spans="1:9" x14ac:dyDescent="0.25">
      <c r="A46" s="2" t="s">
        <v>340</v>
      </c>
      <c r="B46">
        <v>9870980000</v>
      </c>
      <c r="C46">
        <v>3.51</v>
      </c>
      <c r="D46">
        <v>516490000</v>
      </c>
      <c r="F46">
        <v>8407103000</v>
      </c>
      <c r="G46">
        <v>134230000</v>
      </c>
      <c r="H46">
        <v>1463877000</v>
      </c>
      <c r="I46">
        <v>20392680003.510002</v>
      </c>
    </row>
    <row r="47" spans="1:9" x14ac:dyDescent="0.25">
      <c r="A47" s="2" t="s">
        <v>342</v>
      </c>
      <c r="B47">
        <v>6990022000</v>
      </c>
      <c r="C47">
        <v>4.0199999999999996</v>
      </c>
      <c r="D47">
        <v>373735000</v>
      </c>
      <c r="F47">
        <v>6227530000</v>
      </c>
      <c r="G47">
        <v>103361000</v>
      </c>
      <c r="H47">
        <v>762403000</v>
      </c>
      <c r="I47">
        <v>14457051004.02</v>
      </c>
    </row>
    <row r="48" spans="1:9" x14ac:dyDescent="0.25">
      <c r="A48" s="2" t="s">
        <v>20</v>
      </c>
      <c r="B48">
        <v>2239018000</v>
      </c>
      <c r="C48">
        <v>4.76</v>
      </c>
      <c r="D48">
        <v>114371000</v>
      </c>
      <c r="F48">
        <v>2063776000</v>
      </c>
      <c r="G48">
        <v>21226000</v>
      </c>
      <c r="H48">
        <v>175242000</v>
      </c>
      <c r="I48">
        <v>4613633004.7600002</v>
      </c>
    </row>
    <row r="49" spans="1:9" x14ac:dyDescent="0.25">
      <c r="A49" s="2" t="s">
        <v>344</v>
      </c>
      <c r="B49">
        <v>4385765000</v>
      </c>
      <c r="C49">
        <v>3.61</v>
      </c>
      <c r="D49">
        <v>204387000</v>
      </c>
      <c r="F49">
        <v>3832914000</v>
      </c>
      <c r="G49">
        <v>61557000</v>
      </c>
      <c r="H49">
        <v>552851000</v>
      </c>
      <c r="I49">
        <v>9037474003.6100006</v>
      </c>
    </row>
    <row r="50" spans="1:9" x14ac:dyDescent="0.25">
      <c r="A50" s="2" t="s">
        <v>346</v>
      </c>
      <c r="B50">
        <v>6722018000</v>
      </c>
      <c r="C50">
        <v>8.94</v>
      </c>
      <c r="D50">
        <v>321216000</v>
      </c>
      <c r="F50">
        <v>5912338000</v>
      </c>
      <c r="G50">
        <v>130485000</v>
      </c>
      <c r="H50">
        <v>809680000</v>
      </c>
      <c r="I50">
        <v>13895737008.939999</v>
      </c>
    </row>
    <row r="51" spans="1:9" x14ac:dyDescent="0.25">
      <c r="A51" s="2" t="s">
        <v>22</v>
      </c>
      <c r="B51">
        <v>4647870000</v>
      </c>
      <c r="C51">
        <v>6.82</v>
      </c>
      <c r="E51">
        <v>233774000</v>
      </c>
      <c r="F51">
        <v>4045161000</v>
      </c>
      <c r="G51">
        <v>60502000</v>
      </c>
      <c r="H51">
        <v>548234000</v>
      </c>
      <c r="I51">
        <v>9535541006.8199997</v>
      </c>
    </row>
    <row r="52" spans="1:9" x14ac:dyDescent="0.25">
      <c r="A52" s="2" t="s">
        <v>24</v>
      </c>
      <c r="B52">
        <v>8396435000</v>
      </c>
      <c r="C52">
        <v>2.5</v>
      </c>
      <c r="D52">
        <v>392345000</v>
      </c>
      <c r="F52">
        <v>7524308000</v>
      </c>
      <c r="G52">
        <v>66131000</v>
      </c>
      <c r="H52">
        <v>872127000</v>
      </c>
      <c r="I52">
        <v>17251346002.5</v>
      </c>
    </row>
    <row r="53" spans="1:9" x14ac:dyDescent="0.25">
      <c r="A53" s="2" t="s">
        <v>348</v>
      </c>
      <c r="B53">
        <v>6621694000</v>
      </c>
      <c r="C53">
        <v>2.72</v>
      </c>
      <c r="D53">
        <v>318091000</v>
      </c>
      <c r="F53">
        <v>6078110000</v>
      </c>
      <c r="G53">
        <v>52244000</v>
      </c>
      <c r="H53">
        <v>543584000</v>
      </c>
      <c r="I53">
        <v>13613723002.720001</v>
      </c>
    </row>
    <row r="54" spans="1:9" x14ac:dyDescent="0.25">
      <c r="A54" s="2" t="s">
        <v>26</v>
      </c>
      <c r="B54">
        <v>1530977000</v>
      </c>
      <c r="C54">
        <v>0.99</v>
      </c>
      <c r="D54">
        <v>77199000</v>
      </c>
      <c r="F54">
        <v>1417917000</v>
      </c>
      <c r="G54">
        <v>6152000</v>
      </c>
      <c r="H54">
        <v>113060000</v>
      </c>
      <c r="I54">
        <v>3145305000.9899998</v>
      </c>
    </row>
    <row r="55" spans="1:9" x14ac:dyDescent="0.25">
      <c r="A55" s="2" t="s">
        <v>28</v>
      </c>
      <c r="B55">
        <v>6974584000</v>
      </c>
      <c r="C55">
        <v>3.86</v>
      </c>
      <c r="D55">
        <v>320655000</v>
      </c>
      <c r="F55">
        <v>6278026000</v>
      </c>
      <c r="G55">
        <v>65160000</v>
      </c>
      <c r="H55">
        <v>696558000</v>
      </c>
      <c r="I55">
        <v>14334983003.860001</v>
      </c>
    </row>
    <row r="56" spans="1:9" x14ac:dyDescent="0.25">
      <c r="A56" s="2" t="s">
        <v>350</v>
      </c>
      <c r="B56">
        <v>226351000000</v>
      </c>
      <c r="C56">
        <v>3.9</v>
      </c>
      <c r="D56">
        <v>9663000000</v>
      </c>
      <c r="F56">
        <v>200034000000</v>
      </c>
      <c r="G56">
        <v>1831000000</v>
      </c>
      <c r="H56">
        <v>26317000000</v>
      </c>
      <c r="I56">
        <v>464196000003.90002</v>
      </c>
    </row>
    <row r="57" spans="1:9" x14ac:dyDescent="0.25">
      <c r="A57" s="2" t="s">
        <v>30</v>
      </c>
      <c r="B57">
        <v>3166303000</v>
      </c>
      <c r="C57">
        <v>3.1</v>
      </c>
      <c r="D57">
        <v>160271000</v>
      </c>
      <c r="F57">
        <v>2883160000</v>
      </c>
      <c r="G57">
        <v>34394000</v>
      </c>
      <c r="H57">
        <v>283143000</v>
      </c>
      <c r="I57">
        <v>6527271003.1000004</v>
      </c>
    </row>
    <row r="58" spans="1:9" x14ac:dyDescent="0.25">
      <c r="A58" s="2" t="s">
        <v>32</v>
      </c>
      <c r="B58">
        <v>5071390000</v>
      </c>
      <c r="C58">
        <v>2.44</v>
      </c>
      <c r="D58">
        <v>255784000</v>
      </c>
      <c r="F58">
        <v>4455892000</v>
      </c>
      <c r="G58">
        <v>77008000</v>
      </c>
      <c r="H58">
        <v>615498000</v>
      </c>
      <c r="I58">
        <v>10475572002.439999</v>
      </c>
    </row>
    <row r="59" spans="1:9" x14ac:dyDescent="0.25">
      <c r="A59" s="2" t="s">
        <v>352</v>
      </c>
      <c r="B59">
        <v>24912896000</v>
      </c>
      <c r="C59">
        <v>4.4400000000000004</v>
      </c>
      <c r="D59">
        <v>1022400000</v>
      </c>
      <c r="F59">
        <v>21347168000</v>
      </c>
      <c r="G59">
        <v>205122000</v>
      </c>
      <c r="H59">
        <v>3565728000</v>
      </c>
      <c r="I59">
        <v>51053314004.440002</v>
      </c>
    </row>
    <row r="60" spans="1:9" x14ac:dyDescent="0.25">
      <c r="A60" s="2" t="s">
        <v>354</v>
      </c>
      <c r="B60">
        <v>229698000000</v>
      </c>
      <c r="C60">
        <v>165.24</v>
      </c>
      <c r="D60">
        <v>11778000000</v>
      </c>
      <c r="F60">
        <v>207460000000</v>
      </c>
      <c r="G60">
        <v>2206000000</v>
      </c>
      <c r="H60">
        <v>22238000000</v>
      </c>
      <c r="I60">
        <v>473380000165.23999</v>
      </c>
    </row>
    <row r="61" spans="1:9" x14ac:dyDescent="0.25">
      <c r="A61" s="2" t="s">
        <v>356</v>
      </c>
      <c r="B61">
        <v>84073663000</v>
      </c>
      <c r="C61">
        <v>5.91</v>
      </c>
      <c r="D61">
        <v>4021508000</v>
      </c>
      <c r="F61">
        <v>74581427000</v>
      </c>
      <c r="G61">
        <v>1002802000</v>
      </c>
      <c r="H61">
        <v>9492236000</v>
      </c>
      <c r="I61">
        <v>173171636005.91</v>
      </c>
    </row>
    <row r="62" spans="1:9" x14ac:dyDescent="0.25">
      <c r="A62" s="2" t="s">
        <v>358</v>
      </c>
      <c r="B62">
        <v>9805013000</v>
      </c>
      <c r="C62">
        <v>11.18</v>
      </c>
      <c r="D62">
        <v>544540000</v>
      </c>
      <c r="F62">
        <v>8452220000</v>
      </c>
      <c r="G62">
        <v>180073000</v>
      </c>
      <c r="I62">
        <v>18981846011.18</v>
      </c>
    </row>
    <row r="63" spans="1:9" x14ac:dyDescent="0.25">
      <c r="A63" s="2" t="s">
        <v>360</v>
      </c>
      <c r="B63">
        <v>12668339000</v>
      </c>
      <c r="C63">
        <v>2.68</v>
      </c>
      <c r="D63">
        <v>557235000</v>
      </c>
      <c r="F63">
        <v>11014171000</v>
      </c>
      <c r="G63">
        <v>111048000</v>
      </c>
      <c r="H63">
        <v>1654168000</v>
      </c>
      <c r="I63">
        <v>26004961002.68</v>
      </c>
    </row>
    <row r="64" spans="1:9" x14ac:dyDescent="0.25">
      <c r="A64" s="2" t="s">
        <v>362</v>
      </c>
      <c r="B64">
        <v>164572121000</v>
      </c>
      <c r="D64">
        <v>12436658000</v>
      </c>
      <c r="F64">
        <v>146627414000</v>
      </c>
      <c r="G64">
        <v>1645158000</v>
      </c>
      <c r="H64">
        <v>15944707000</v>
      </c>
      <c r="I64">
        <v>341226058000</v>
      </c>
    </row>
    <row r="65" spans="1:9" x14ac:dyDescent="0.25">
      <c r="A65" s="2" t="s">
        <v>364</v>
      </c>
      <c r="B65">
        <v>21314076000</v>
      </c>
      <c r="C65">
        <v>5.1100000000000003</v>
      </c>
      <c r="D65">
        <v>1019688000</v>
      </c>
      <c r="F65">
        <v>18586001000</v>
      </c>
      <c r="G65">
        <v>287349000</v>
      </c>
      <c r="H65">
        <v>2738545000</v>
      </c>
      <c r="I65">
        <v>43945659005.110001</v>
      </c>
    </row>
    <row r="66" spans="1:9" x14ac:dyDescent="0.25">
      <c r="A66" s="2" t="s">
        <v>366</v>
      </c>
      <c r="B66">
        <v>2657202000000</v>
      </c>
      <c r="C66">
        <v>7.11</v>
      </c>
      <c r="D66">
        <v>142864000000</v>
      </c>
      <c r="F66">
        <v>2443380000000</v>
      </c>
      <c r="G66">
        <v>14306000000</v>
      </c>
      <c r="H66">
        <v>212291000000</v>
      </c>
      <c r="I66">
        <v>5470043000007.1094</v>
      </c>
    </row>
    <row r="67" spans="1:9" x14ac:dyDescent="0.25">
      <c r="A67" s="2" t="s">
        <v>34</v>
      </c>
      <c r="B67">
        <v>2209448000</v>
      </c>
      <c r="C67">
        <v>2.56</v>
      </c>
      <c r="D67">
        <v>96035000</v>
      </c>
      <c r="F67">
        <v>1978052000</v>
      </c>
      <c r="G67">
        <v>18910000</v>
      </c>
      <c r="H67">
        <v>231396000</v>
      </c>
      <c r="I67">
        <v>4533841002.5599995</v>
      </c>
    </row>
    <row r="68" spans="1:9" x14ac:dyDescent="0.25">
      <c r="A68" s="2" t="s">
        <v>368</v>
      </c>
      <c r="B68">
        <v>15341631000</v>
      </c>
      <c r="C68">
        <v>2.36</v>
      </c>
      <c r="D68">
        <v>685442000</v>
      </c>
      <c r="F68">
        <v>13865862000</v>
      </c>
      <c r="G68">
        <v>110682000</v>
      </c>
      <c r="H68">
        <v>1475769000</v>
      </c>
      <c r="I68">
        <v>31479386002.360001</v>
      </c>
    </row>
    <row r="69" spans="1:9" x14ac:dyDescent="0.25">
      <c r="A69" s="2" t="s">
        <v>370</v>
      </c>
      <c r="B69">
        <v>28002554000</v>
      </c>
      <c r="C69">
        <v>2.62</v>
      </c>
      <c r="D69">
        <v>1382939000</v>
      </c>
      <c r="F69">
        <v>24363868000</v>
      </c>
      <c r="G69">
        <v>328095000</v>
      </c>
      <c r="H69">
        <v>3638686000</v>
      </c>
      <c r="I69">
        <v>57716142002.619995</v>
      </c>
    </row>
    <row r="70" spans="1:9" x14ac:dyDescent="0.25">
      <c r="A70" s="2" t="s">
        <v>372</v>
      </c>
      <c r="B70">
        <v>26640600000</v>
      </c>
      <c r="C70">
        <v>2.95</v>
      </c>
      <c r="D70">
        <v>1178000000</v>
      </c>
      <c r="F70">
        <v>23193600000</v>
      </c>
      <c r="G70">
        <v>302100000</v>
      </c>
      <c r="H70">
        <v>3447000000</v>
      </c>
      <c r="I70">
        <v>54761300002.949997</v>
      </c>
    </row>
    <row r="71" spans="1:9" x14ac:dyDescent="0.25">
      <c r="A71" s="2" t="s">
        <v>374</v>
      </c>
      <c r="B71">
        <v>31978063000</v>
      </c>
      <c r="C71">
        <v>2</v>
      </c>
      <c r="D71">
        <v>1295797000</v>
      </c>
      <c r="F71">
        <v>27764242000</v>
      </c>
      <c r="G71">
        <v>239028000</v>
      </c>
      <c r="H71">
        <v>4213821000</v>
      </c>
      <c r="I71">
        <v>65490951002</v>
      </c>
    </row>
    <row r="72" spans="1:9" x14ac:dyDescent="0.25">
      <c r="A72" s="2" t="s">
        <v>376</v>
      </c>
      <c r="B72">
        <v>52237501000</v>
      </c>
      <c r="C72">
        <v>9.17</v>
      </c>
      <c r="D72">
        <v>2531268000</v>
      </c>
      <c r="F72">
        <v>46316821000</v>
      </c>
      <c r="G72">
        <v>577990000</v>
      </c>
      <c r="H72">
        <v>5918646000</v>
      </c>
      <c r="I72">
        <v>107582226009.17</v>
      </c>
    </row>
    <row r="73" spans="1:9" x14ac:dyDescent="0.25">
      <c r="A73" s="2" t="s">
        <v>36</v>
      </c>
      <c r="B73">
        <v>6133896000</v>
      </c>
      <c r="C73">
        <v>2.59</v>
      </c>
      <c r="D73">
        <v>323770000</v>
      </c>
      <c r="F73">
        <v>5319838000</v>
      </c>
      <c r="G73">
        <v>56248000</v>
      </c>
      <c r="H73">
        <v>814058000</v>
      </c>
      <c r="I73">
        <v>12647810002.59</v>
      </c>
    </row>
    <row r="74" spans="1:9" x14ac:dyDescent="0.25">
      <c r="A74" s="2" t="s">
        <v>38</v>
      </c>
      <c r="B74">
        <v>1888626000</v>
      </c>
      <c r="C74">
        <v>1.59</v>
      </c>
      <c r="D74">
        <v>99005000</v>
      </c>
      <c r="F74">
        <v>1699787000</v>
      </c>
      <c r="G74">
        <v>8214000</v>
      </c>
      <c r="H74">
        <v>188839000</v>
      </c>
      <c r="I74">
        <v>3884471001.5900002</v>
      </c>
    </row>
    <row r="75" spans="1:9" x14ac:dyDescent="0.25">
      <c r="A75" s="2" t="s">
        <v>378</v>
      </c>
      <c r="B75">
        <v>37585754000</v>
      </c>
      <c r="C75">
        <v>2.0299999999999998</v>
      </c>
      <c r="D75">
        <v>1821487000</v>
      </c>
      <c r="F75">
        <v>32579356000</v>
      </c>
      <c r="G75">
        <v>273715000</v>
      </c>
      <c r="H75">
        <v>5006398000</v>
      </c>
      <c r="I75">
        <v>77266710002.029999</v>
      </c>
    </row>
    <row r="76" spans="1:9" x14ac:dyDescent="0.25">
      <c r="A76" s="2" t="s">
        <v>380</v>
      </c>
      <c r="B76">
        <v>66832000000</v>
      </c>
      <c r="C76">
        <v>2.31</v>
      </c>
      <c r="D76">
        <v>2916000000</v>
      </c>
      <c r="F76">
        <v>58992000000</v>
      </c>
      <c r="G76">
        <v>550000000</v>
      </c>
      <c r="H76">
        <v>7840000000</v>
      </c>
      <c r="I76">
        <v>137130000002.31</v>
      </c>
    </row>
    <row r="77" spans="1:9" x14ac:dyDescent="0.25">
      <c r="A77" s="2" t="s">
        <v>40</v>
      </c>
      <c r="B77">
        <v>1894850000</v>
      </c>
      <c r="C77">
        <v>3.44</v>
      </c>
      <c r="D77">
        <v>97658000</v>
      </c>
      <c r="F77">
        <v>1720621000</v>
      </c>
      <c r="G77">
        <v>23801000</v>
      </c>
      <c r="H77">
        <v>174229000</v>
      </c>
      <c r="I77">
        <v>3911159003.4400001</v>
      </c>
    </row>
    <row r="78" spans="1:9" x14ac:dyDescent="0.25">
      <c r="A78" s="2" t="s">
        <v>42</v>
      </c>
      <c r="B78">
        <v>2768494000</v>
      </c>
      <c r="C78">
        <v>8.2899999999999991</v>
      </c>
      <c r="D78">
        <v>151499000</v>
      </c>
      <c r="F78">
        <v>2506146000</v>
      </c>
      <c r="G78">
        <v>26835000</v>
      </c>
      <c r="H78">
        <v>261753000</v>
      </c>
      <c r="I78">
        <v>5714727008.29</v>
      </c>
    </row>
    <row r="79" spans="1:9" x14ac:dyDescent="0.25">
      <c r="A79" s="2" t="s">
        <v>44</v>
      </c>
      <c r="B79">
        <v>2966652000</v>
      </c>
      <c r="C79">
        <v>5.78</v>
      </c>
      <c r="D79">
        <v>173628000</v>
      </c>
      <c r="F79">
        <v>2621021000</v>
      </c>
      <c r="G79">
        <v>57951000</v>
      </c>
      <c r="H79">
        <v>345631000</v>
      </c>
      <c r="I79">
        <v>6164883005.7800007</v>
      </c>
    </row>
    <row r="80" spans="1:9" x14ac:dyDescent="0.25">
      <c r="A80" s="2" t="s">
        <v>382</v>
      </c>
      <c r="B80">
        <v>669009000000</v>
      </c>
      <c r="C80">
        <v>4.03</v>
      </c>
      <c r="D80">
        <v>58696000000</v>
      </c>
      <c r="F80">
        <v>555393000000</v>
      </c>
      <c r="G80">
        <v>2453000000</v>
      </c>
      <c r="H80">
        <v>113616000000</v>
      </c>
      <c r="I80">
        <v>1399167000004.03</v>
      </c>
    </row>
    <row r="81" spans="1:9" x14ac:dyDescent="0.25">
      <c r="A81" s="2" t="s">
        <v>384</v>
      </c>
      <c r="B81">
        <v>16354488000</v>
      </c>
      <c r="C81">
        <v>5.67</v>
      </c>
      <c r="E81">
        <v>804955000</v>
      </c>
      <c r="F81">
        <v>14408191000</v>
      </c>
      <c r="G81">
        <v>195382000</v>
      </c>
      <c r="H81">
        <v>1946297000</v>
      </c>
      <c r="I81">
        <v>33709313005.669998</v>
      </c>
    </row>
    <row r="82" spans="1:9" x14ac:dyDescent="0.25">
      <c r="A82" s="2" t="s">
        <v>386</v>
      </c>
      <c r="B82">
        <v>14564317000</v>
      </c>
      <c r="C82">
        <v>1.17</v>
      </c>
      <c r="D82">
        <v>642454000</v>
      </c>
      <c r="F82">
        <v>12901767000</v>
      </c>
      <c r="G82">
        <v>70978000</v>
      </c>
      <c r="H82">
        <v>1662550000</v>
      </c>
      <c r="I82">
        <v>29842066001.169998</v>
      </c>
    </row>
    <row r="83" spans="1:9" x14ac:dyDescent="0.25">
      <c r="A83" s="2" t="s">
        <v>388</v>
      </c>
      <c r="B83">
        <v>8668268000</v>
      </c>
      <c r="C83">
        <v>11.3</v>
      </c>
      <c r="D83">
        <v>382074000</v>
      </c>
      <c r="F83">
        <v>7729891000</v>
      </c>
      <c r="G83">
        <v>161071000</v>
      </c>
      <c r="I83">
        <v>16941304011.299999</v>
      </c>
    </row>
    <row r="84" spans="1:9" x14ac:dyDescent="0.25">
      <c r="A84" s="2" t="s">
        <v>46</v>
      </c>
      <c r="B84">
        <v>2424842000</v>
      </c>
      <c r="C84">
        <v>3.01</v>
      </c>
      <c r="D84">
        <v>126528000</v>
      </c>
      <c r="F84">
        <v>2182685000</v>
      </c>
      <c r="G84">
        <v>27755000</v>
      </c>
      <c r="H84">
        <v>242157000</v>
      </c>
      <c r="I84">
        <v>5003967003.0100002</v>
      </c>
    </row>
    <row r="85" spans="1:9" x14ac:dyDescent="0.25">
      <c r="A85" s="2" t="s">
        <v>390</v>
      </c>
      <c r="B85">
        <v>71142046000</v>
      </c>
      <c r="C85">
        <v>11.57</v>
      </c>
      <c r="D85">
        <v>3728033000</v>
      </c>
      <c r="F85">
        <v>63883331000</v>
      </c>
      <c r="G85">
        <v>823844000</v>
      </c>
      <c r="H85">
        <v>7258715000</v>
      </c>
      <c r="I85">
        <v>146835969011.57001</v>
      </c>
    </row>
    <row r="86" spans="1:9" x14ac:dyDescent="0.25">
      <c r="A86" s="2" t="s">
        <v>392</v>
      </c>
      <c r="B86">
        <v>17300884000</v>
      </c>
      <c r="C86">
        <v>5.34</v>
      </c>
      <c r="D86">
        <v>888410000</v>
      </c>
      <c r="F86">
        <v>15261498000</v>
      </c>
      <c r="G86">
        <v>201374000</v>
      </c>
      <c r="H86">
        <v>2039386000</v>
      </c>
      <c r="I86">
        <v>35691552005.339996</v>
      </c>
    </row>
    <row r="87" spans="1:9" x14ac:dyDescent="0.25">
      <c r="A87" s="2" t="s">
        <v>394</v>
      </c>
      <c r="B87">
        <v>12465657000</v>
      </c>
      <c r="C87">
        <v>4.5999999999999996</v>
      </c>
      <c r="D87">
        <v>780936000</v>
      </c>
      <c r="F87">
        <v>11075652000</v>
      </c>
      <c r="G87">
        <v>205103000</v>
      </c>
      <c r="H87">
        <v>1390005000</v>
      </c>
      <c r="I87">
        <v>25917353004.599998</v>
      </c>
    </row>
    <row r="88" spans="1:9" x14ac:dyDescent="0.25">
      <c r="A88" s="2" t="s">
        <v>396</v>
      </c>
      <c r="B88">
        <v>6258818000</v>
      </c>
      <c r="C88">
        <v>1.78</v>
      </c>
      <c r="D88">
        <v>310028000</v>
      </c>
      <c r="F88">
        <v>5668945000</v>
      </c>
      <c r="G88">
        <v>59506000</v>
      </c>
      <c r="H88">
        <v>589873000</v>
      </c>
      <c r="I88">
        <v>12887170001.779999</v>
      </c>
    </row>
    <row r="89" spans="1:9" x14ac:dyDescent="0.25">
      <c r="A89" s="2" t="s">
        <v>48</v>
      </c>
      <c r="B89">
        <v>10497203000</v>
      </c>
      <c r="C89">
        <v>-4.55</v>
      </c>
      <c r="D89">
        <v>604482000</v>
      </c>
      <c r="F89">
        <v>9365920000</v>
      </c>
      <c r="G89">
        <v>-138052000</v>
      </c>
      <c r="H89">
        <v>1131283000</v>
      </c>
      <c r="I89">
        <v>21460835995.450001</v>
      </c>
    </row>
    <row r="90" spans="1:9" x14ac:dyDescent="0.25">
      <c r="A90" s="2" t="s">
        <v>398</v>
      </c>
      <c r="B90">
        <v>19132892000</v>
      </c>
      <c r="C90">
        <v>2.16</v>
      </c>
      <c r="D90">
        <v>1123156000</v>
      </c>
      <c r="F90">
        <v>17166027000</v>
      </c>
      <c r="G90">
        <v>344866000</v>
      </c>
      <c r="H90">
        <v>1966865000</v>
      </c>
      <c r="I90">
        <v>39733806002.160004</v>
      </c>
    </row>
    <row r="91" spans="1:9" x14ac:dyDescent="0.25">
      <c r="A91" s="2" t="s">
        <v>400</v>
      </c>
      <c r="B91">
        <v>80434997000</v>
      </c>
      <c r="C91">
        <v>9.58</v>
      </c>
      <c r="D91">
        <v>4293396000</v>
      </c>
      <c r="F91">
        <v>71535795000</v>
      </c>
      <c r="G91">
        <v>1325188000</v>
      </c>
      <c r="H91">
        <v>8899202000</v>
      </c>
      <c r="I91">
        <v>166488578009.58002</v>
      </c>
    </row>
    <row r="92" spans="1:9" x14ac:dyDescent="0.25">
      <c r="A92" s="2" t="s">
        <v>50</v>
      </c>
      <c r="B92">
        <v>3350910000</v>
      </c>
      <c r="C92">
        <v>6.4</v>
      </c>
      <c r="D92">
        <v>149886000</v>
      </c>
      <c r="F92">
        <v>2985760000</v>
      </c>
      <c r="G92">
        <v>42764000</v>
      </c>
      <c r="H92">
        <v>365150000</v>
      </c>
      <c r="I92">
        <v>6894470006.3999996</v>
      </c>
    </row>
    <row r="93" spans="1:9" x14ac:dyDescent="0.25">
      <c r="A93" s="2" t="s">
        <v>402</v>
      </c>
      <c r="B93">
        <v>31540274000</v>
      </c>
      <c r="C93">
        <v>6.86</v>
      </c>
      <c r="D93">
        <v>1771785000</v>
      </c>
      <c r="F93">
        <v>27908892000</v>
      </c>
      <c r="G93">
        <v>330244000</v>
      </c>
      <c r="H93">
        <v>3631382000</v>
      </c>
      <c r="I93">
        <v>65182577006.860001</v>
      </c>
    </row>
    <row r="94" spans="1:9" x14ac:dyDescent="0.25">
      <c r="A94" s="2" t="s">
        <v>404</v>
      </c>
      <c r="B94">
        <v>15844994000</v>
      </c>
      <c r="C94">
        <v>2.64</v>
      </c>
      <c r="D94">
        <v>784050000</v>
      </c>
      <c r="F94">
        <v>13647388000</v>
      </c>
      <c r="G94">
        <v>165591000</v>
      </c>
      <c r="H94">
        <v>2168401000</v>
      </c>
      <c r="I94">
        <v>32610424002.639999</v>
      </c>
    </row>
    <row r="95" spans="1:9" x14ac:dyDescent="0.25">
      <c r="A95" s="2" t="s">
        <v>406</v>
      </c>
      <c r="B95">
        <v>67197412000</v>
      </c>
      <c r="C95">
        <v>7.9</v>
      </c>
      <c r="D95">
        <v>3379498000</v>
      </c>
      <c r="F95">
        <v>58138304000</v>
      </c>
      <c r="G95">
        <v>798667000</v>
      </c>
      <c r="H95">
        <v>9059108000</v>
      </c>
      <c r="I95">
        <v>138572989007.89999</v>
      </c>
    </row>
    <row r="96" spans="1:9" x14ac:dyDescent="0.25">
      <c r="A96" s="2" t="s">
        <v>408</v>
      </c>
      <c r="B96">
        <v>8255716000</v>
      </c>
      <c r="C96">
        <v>6.71</v>
      </c>
      <c r="D96">
        <v>515278000</v>
      </c>
      <c r="F96">
        <v>7512604000</v>
      </c>
      <c r="G96">
        <v>71098000</v>
      </c>
      <c r="H96">
        <v>743112000</v>
      </c>
      <c r="I96">
        <v>17097808006.709999</v>
      </c>
    </row>
    <row r="97" spans="1:9" x14ac:dyDescent="0.25">
      <c r="A97" s="2" t="s">
        <v>410</v>
      </c>
      <c r="B97">
        <v>9883518000</v>
      </c>
      <c r="C97">
        <v>2.86</v>
      </c>
      <c r="D97">
        <v>519774000</v>
      </c>
      <c r="F97">
        <v>8498404000</v>
      </c>
      <c r="G97">
        <v>109574000</v>
      </c>
      <c r="H97">
        <v>1385114000</v>
      </c>
      <c r="I97">
        <v>20396384002.860001</v>
      </c>
    </row>
    <row r="98" spans="1:9" x14ac:dyDescent="0.25">
      <c r="A98" s="2" t="s">
        <v>412</v>
      </c>
      <c r="B98">
        <v>5407002000</v>
      </c>
      <c r="C98">
        <v>1.53</v>
      </c>
      <c r="D98">
        <v>281848000</v>
      </c>
      <c r="F98">
        <v>4889907000</v>
      </c>
      <c r="G98">
        <v>46088000</v>
      </c>
      <c r="H98">
        <v>517095000</v>
      </c>
      <c r="I98">
        <v>11141940001.529999</v>
      </c>
    </row>
    <row r="99" spans="1:9" x14ac:dyDescent="0.25">
      <c r="A99" s="2" t="s">
        <v>414</v>
      </c>
      <c r="B99">
        <v>6902675000</v>
      </c>
      <c r="C99">
        <v>1.64</v>
      </c>
      <c r="D99">
        <v>355181000</v>
      </c>
      <c r="F99">
        <v>6005907000</v>
      </c>
      <c r="G99">
        <v>80310000</v>
      </c>
      <c r="H99">
        <v>896768000</v>
      </c>
      <c r="I99">
        <v>14240841001.639999</v>
      </c>
    </row>
    <row r="100" spans="1:9" x14ac:dyDescent="0.25">
      <c r="A100" s="2" t="s">
        <v>416</v>
      </c>
      <c r="B100">
        <v>16576335000</v>
      </c>
      <c r="C100">
        <v>6.63</v>
      </c>
      <c r="D100">
        <v>886274000</v>
      </c>
      <c r="F100">
        <v>13324697000</v>
      </c>
      <c r="G100">
        <v>412293000</v>
      </c>
      <c r="H100">
        <v>3251638000</v>
      </c>
      <c r="I100">
        <v>34451237006.629997</v>
      </c>
    </row>
    <row r="101" spans="1:9" x14ac:dyDescent="0.25">
      <c r="A101" s="2" t="s">
        <v>418</v>
      </c>
      <c r="B101">
        <v>3829279000</v>
      </c>
      <c r="C101">
        <v>3.14</v>
      </c>
      <c r="D101">
        <v>171388000</v>
      </c>
      <c r="F101">
        <v>3464416000</v>
      </c>
      <c r="G101">
        <v>42327000</v>
      </c>
      <c r="H101">
        <v>364863000</v>
      </c>
      <c r="I101">
        <v>7872273003.1399994</v>
      </c>
    </row>
    <row r="102" spans="1:9" x14ac:dyDescent="0.25">
      <c r="A102" s="2" t="s">
        <v>420</v>
      </c>
      <c r="B102">
        <v>9575470000</v>
      </c>
      <c r="C102">
        <v>7.54</v>
      </c>
      <c r="D102">
        <v>489426000</v>
      </c>
      <c r="F102">
        <v>8463159000</v>
      </c>
      <c r="G102">
        <v>127194000</v>
      </c>
      <c r="H102">
        <v>1112311000</v>
      </c>
      <c r="I102">
        <v>19767560007.540001</v>
      </c>
    </row>
    <row r="103" spans="1:9" x14ac:dyDescent="0.25">
      <c r="A103" s="2" t="s">
        <v>422</v>
      </c>
      <c r="B103">
        <v>23955252000</v>
      </c>
      <c r="C103">
        <v>2.21</v>
      </c>
      <c r="D103">
        <v>951303000</v>
      </c>
      <c r="F103">
        <v>21185887000</v>
      </c>
      <c r="G103">
        <v>276266000</v>
      </c>
      <c r="H103">
        <v>2769365000</v>
      </c>
      <c r="I103">
        <v>49138073002.209999</v>
      </c>
    </row>
    <row r="104" spans="1:9" x14ac:dyDescent="0.25">
      <c r="A104" s="2" t="s">
        <v>424</v>
      </c>
      <c r="B104">
        <v>19448943000</v>
      </c>
      <c r="C104">
        <v>3.78</v>
      </c>
      <c r="D104">
        <v>1200851000</v>
      </c>
      <c r="F104">
        <v>17168184000</v>
      </c>
      <c r="G104">
        <v>218770000</v>
      </c>
      <c r="H104">
        <v>2280759000</v>
      </c>
      <c r="I104">
        <v>40317507003.779999</v>
      </c>
    </row>
    <row r="105" spans="1:9" x14ac:dyDescent="0.25">
      <c r="A105" s="2" t="s">
        <v>426</v>
      </c>
      <c r="B105">
        <v>4506095000</v>
      </c>
      <c r="C105">
        <v>7.23</v>
      </c>
      <c r="D105">
        <v>221715000</v>
      </c>
      <c r="F105">
        <v>3862259000</v>
      </c>
      <c r="G105">
        <v>71496000</v>
      </c>
      <c r="H105">
        <v>643836000</v>
      </c>
      <c r="I105">
        <v>9305401007.2299995</v>
      </c>
    </row>
    <row r="106" spans="1:9" x14ac:dyDescent="0.25">
      <c r="A106" s="2" t="s">
        <v>428</v>
      </c>
      <c r="B106">
        <v>17303296000</v>
      </c>
      <c r="C106">
        <v>3.98</v>
      </c>
      <c r="D106">
        <v>699275000</v>
      </c>
      <c r="F106">
        <v>15297262000</v>
      </c>
      <c r="G106">
        <v>210455000</v>
      </c>
      <c r="H106">
        <v>2006034000</v>
      </c>
      <c r="I106">
        <v>35516322003.979996</v>
      </c>
    </row>
    <row r="107" spans="1:9" x14ac:dyDescent="0.25">
      <c r="A107" s="2" t="s">
        <v>52</v>
      </c>
      <c r="B107">
        <v>7042061000</v>
      </c>
      <c r="D107">
        <v>438513000</v>
      </c>
      <c r="F107">
        <v>5939768000</v>
      </c>
      <c r="G107">
        <v>131317000</v>
      </c>
      <c r="H107">
        <v>1102293000</v>
      </c>
      <c r="I107">
        <v>14653952000</v>
      </c>
    </row>
    <row r="108" spans="1:9" x14ac:dyDescent="0.25">
      <c r="A108" s="2" t="s">
        <v>54</v>
      </c>
      <c r="B108">
        <v>3132469000</v>
      </c>
      <c r="C108">
        <v>1.46</v>
      </c>
      <c r="D108">
        <v>139217000</v>
      </c>
      <c r="F108">
        <v>2790755000</v>
      </c>
      <c r="G108">
        <v>23427000</v>
      </c>
      <c r="H108">
        <v>341714000</v>
      </c>
      <c r="I108">
        <v>6427582001.46</v>
      </c>
    </row>
    <row r="109" spans="1:9" x14ac:dyDescent="0.25">
      <c r="A109" s="2" t="s">
        <v>56</v>
      </c>
      <c r="B109">
        <v>8693302000</v>
      </c>
      <c r="C109">
        <v>0.54</v>
      </c>
      <c r="D109">
        <v>466229000</v>
      </c>
      <c r="F109">
        <v>7985327000</v>
      </c>
      <c r="G109">
        <v>18880000</v>
      </c>
      <c r="H109">
        <v>707975000</v>
      </c>
      <c r="I109">
        <v>17871713000.540001</v>
      </c>
    </row>
    <row r="110" spans="1:9" x14ac:dyDescent="0.25">
      <c r="A110" s="2" t="s">
        <v>58</v>
      </c>
      <c r="B110">
        <v>5598606000</v>
      </c>
      <c r="C110">
        <v>6.23</v>
      </c>
      <c r="D110">
        <v>313732000</v>
      </c>
      <c r="F110">
        <v>4962480000</v>
      </c>
      <c r="G110">
        <v>70973000</v>
      </c>
      <c r="H110">
        <v>636126000</v>
      </c>
      <c r="I110">
        <v>11581917006.23</v>
      </c>
    </row>
    <row r="111" spans="1:9" x14ac:dyDescent="0.25">
      <c r="A111" s="2" t="s">
        <v>62</v>
      </c>
      <c r="B111">
        <v>4683891000</v>
      </c>
      <c r="C111">
        <v>2.3199999999999998</v>
      </c>
      <c r="D111">
        <v>209519000</v>
      </c>
      <c r="F111">
        <v>4151350000</v>
      </c>
      <c r="G111">
        <v>36919000</v>
      </c>
      <c r="H111">
        <v>532541000</v>
      </c>
      <c r="I111">
        <v>9614220002.3199997</v>
      </c>
    </row>
    <row r="112" spans="1:9" x14ac:dyDescent="0.25">
      <c r="A112" s="2" t="s">
        <v>64</v>
      </c>
      <c r="B112">
        <v>2332550000</v>
      </c>
      <c r="C112">
        <v>1.49</v>
      </c>
      <c r="D112">
        <v>113257000</v>
      </c>
      <c r="F112">
        <v>2066912000</v>
      </c>
      <c r="G112">
        <v>21233000</v>
      </c>
      <c r="H112">
        <v>265638000</v>
      </c>
      <c r="I112">
        <v>4799590001.4899998</v>
      </c>
    </row>
    <row r="113" spans="1:9" x14ac:dyDescent="0.25">
      <c r="A113" s="2" t="s">
        <v>66</v>
      </c>
      <c r="B113">
        <v>2383096000</v>
      </c>
      <c r="C113">
        <v>1.01</v>
      </c>
      <c r="D113">
        <v>130479000</v>
      </c>
      <c r="F113">
        <v>2182830000</v>
      </c>
      <c r="G113">
        <v>7488000</v>
      </c>
      <c r="H113">
        <v>200266000</v>
      </c>
      <c r="I113">
        <v>4904159001.0100002</v>
      </c>
    </row>
    <row r="114" spans="1:9" x14ac:dyDescent="0.25">
      <c r="A114" s="2" t="s">
        <v>68</v>
      </c>
      <c r="B114">
        <v>5270578000</v>
      </c>
      <c r="C114">
        <v>5.92</v>
      </c>
      <c r="D114">
        <v>259697000</v>
      </c>
      <c r="F114">
        <v>4750731000</v>
      </c>
      <c r="G114">
        <v>59187000</v>
      </c>
      <c r="H114">
        <v>519847000</v>
      </c>
      <c r="I114">
        <v>10860040005.92</v>
      </c>
    </row>
    <row r="115" spans="1:9" x14ac:dyDescent="0.25">
      <c r="A115" s="2" t="s">
        <v>70</v>
      </c>
      <c r="B115">
        <v>2659377000</v>
      </c>
      <c r="C115">
        <v>3.33</v>
      </c>
      <c r="D115">
        <v>134982000</v>
      </c>
      <c r="F115">
        <v>2375013000</v>
      </c>
      <c r="G115">
        <v>41614000</v>
      </c>
      <c r="H115">
        <v>284364000</v>
      </c>
      <c r="I115">
        <v>5495350003.3299999</v>
      </c>
    </row>
    <row r="116" spans="1:9" x14ac:dyDescent="0.25">
      <c r="A116" s="2" t="s">
        <v>72</v>
      </c>
      <c r="B116">
        <v>11904077000</v>
      </c>
      <c r="C116">
        <v>-1.88</v>
      </c>
      <c r="D116">
        <v>540989000</v>
      </c>
      <c r="F116">
        <v>10991490000</v>
      </c>
      <c r="G116">
        <v>-155157000</v>
      </c>
      <c r="H116">
        <v>912587000</v>
      </c>
      <c r="I116">
        <v>24193985998.120003</v>
      </c>
    </row>
    <row r="117" spans="1:9" x14ac:dyDescent="0.25">
      <c r="A117" s="2" t="s">
        <v>74</v>
      </c>
      <c r="B117">
        <v>5860810000</v>
      </c>
      <c r="C117">
        <v>3</v>
      </c>
      <c r="E117">
        <v>285972000</v>
      </c>
      <c r="F117">
        <v>5308318000</v>
      </c>
      <c r="H117">
        <v>552379000</v>
      </c>
      <c r="I117">
        <v>12007479003</v>
      </c>
    </row>
    <row r="118" spans="1:9" x14ac:dyDescent="0.25">
      <c r="A118" s="2" t="s">
        <v>76</v>
      </c>
      <c r="B118">
        <v>4047388000</v>
      </c>
      <c r="C118">
        <v>2.4900000000000002</v>
      </c>
      <c r="D118">
        <v>200442000</v>
      </c>
      <c r="F118">
        <v>3624492000</v>
      </c>
      <c r="G118">
        <v>61443000</v>
      </c>
      <c r="H118">
        <v>422896000</v>
      </c>
      <c r="I118">
        <v>8356661002.4899998</v>
      </c>
    </row>
    <row r="119" spans="1:9" x14ac:dyDescent="0.25">
      <c r="A119" s="2" t="s">
        <v>78</v>
      </c>
      <c r="B119">
        <v>727121000</v>
      </c>
      <c r="C119">
        <v>0.85</v>
      </c>
      <c r="F119">
        <v>626454000</v>
      </c>
      <c r="G119">
        <v>3911000</v>
      </c>
      <c r="H119">
        <v>100667000</v>
      </c>
      <c r="I119">
        <v>1458153000.8499999</v>
      </c>
    </row>
    <row r="120" spans="1:9" x14ac:dyDescent="0.25">
      <c r="A120" s="2" t="s">
        <v>80</v>
      </c>
      <c r="B120">
        <v>857445000</v>
      </c>
      <c r="C120">
        <v>1.34</v>
      </c>
      <c r="D120">
        <v>41489000</v>
      </c>
      <c r="F120">
        <v>786930000</v>
      </c>
      <c r="G120">
        <v>7753000</v>
      </c>
      <c r="H120">
        <v>70515000</v>
      </c>
      <c r="I120">
        <v>1764132001.3400002</v>
      </c>
    </row>
    <row r="121" spans="1:9" x14ac:dyDescent="0.25">
      <c r="A121" s="2" t="s">
        <v>82</v>
      </c>
      <c r="B121">
        <v>1453813000</v>
      </c>
      <c r="C121">
        <v>0.34</v>
      </c>
      <c r="D121">
        <v>71354000</v>
      </c>
      <c r="F121">
        <v>1334501000</v>
      </c>
      <c r="G121">
        <v>5612000</v>
      </c>
      <c r="H121">
        <v>119312000</v>
      </c>
      <c r="I121">
        <v>2984592000.3400002</v>
      </c>
    </row>
    <row r="122" spans="1:9" x14ac:dyDescent="0.25">
      <c r="A122" s="2" t="s">
        <v>84</v>
      </c>
      <c r="B122">
        <v>895263000</v>
      </c>
      <c r="C122">
        <v>1.59</v>
      </c>
      <c r="D122">
        <v>38975000</v>
      </c>
      <c r="F122">
        <v>837890000</v>
      </c>
      <c r="G122">
        <v>7983000</v>
      </c>
      <c r="H122">
        <v>57373000</v>
      </c>
      <c r="I122">
        <v>1837484001.5900002</v>
      </c>
    </row>
    <row r="123" spans="1:9" x14ac:dyDescent="0.25">
      <c r="A123" s="2" t="s">
        <v>86</v>
      </c>
      <c r="B123">
        <v>312114000</v>
      </c>
      <c r="C123">
        <v>0.1</v>
      </c>
      <c r="D123">
        <v>14627000</v>
      </c>
      <c r="F123">
        <v>279363000</v>
      </c>
      <c r="G123">
        <v>172000</v>
      </c>
      <c r="H123">
        <v>32751000</v>
      </c>
      <c r="I123">
        <v>639027000.10000002</v>
      </c>
    </row>
    <row r="124" spans="1:9" x14ac:dyDescent="0.25">
      <c r="A124" s="2" t="s">
        <v>430</v>
      </c>
      <c r="B124">
        <v>18531626000</v>
      </c>
      <c r="C124">
        <v>0.49</v>
      </c>
      <c r="D124">
        <v>941164000</v>
      </c>
      <c r="F124">
        <v>16248358000</v>
      </c>
      <c r="G124">
        <v>61588000</v>
      </c>
      <c r="H124">
        <v>2283268000</v>
      </c>
      <c r="I124">
        <v>38066004000.490005</v>
      </c>
    </row>
    <row r="125" spans="1:9" x14ac:dyDescent="0.25">
      <c r="A125" s="2" t="s">
        <v>88</v>
      </c>
      <c r="B125">
        <v>1248313000</v>
      </c>
      <c r="C125">
        <v>0.7</v>
      </c>
      <c r="D125">
        <v>60812000</v>
      </c>
      <c r="F125">
        <v>1108630000</v>
      </c>
      <c r="G125">
        <v>12288000</v>
      </c>
      <c r="H125">
        <v>139683000</v>
      </c>
      <c r="I125">
        <v>2569726000.6999998</v>
      </c>
    </row>
    <row r="126" spans="1:9" x14ac:dyDescent="0.25">
      <c r="A126" s="2" t="s">
        <v>432</v>
      </c>
      <c r="B126">
        <v>6684138000</v>
      </c>
      <c r="C126">
        <v>5.44</v>
      </c>
      <c r="D126">
        <v>345719000</v>
      </c>
      <c r="F126">
        <v>5828066000</v>
      </c>
      <c r="G126">
        <v>98058000</v>
      </c>
      <c r="H126">
        <v>856072000</v>
      </c>
      <c r="I126">
        <v>13812053005.439999</v>
      </c>
    </row>
    <row r="127" spans="1:9" x14ac:dyDescent="0.25">
      <c r="A127" s="2" t="s">
        <v>434</v>
      </c>
      <c r="B127">
        <v>15995121000</v>
      </c>
      <c r="C127">
        <v>3.34</v>
      </c>
      <c r="D127">
        <v>710992000</v>
      </c>
      <c r="F127">
        <v>14098905000</v>
      </c>
      <c r="G127">
        <v>169235000</v>
      </c>
      <c r="H127">
        <v>1896216000</v>
      </c>
      <c r="I127">
        <v>32870469003.34</v>
      </c>
    </row>
    <row r="128" spans="1:9" x14ac:dyDescent="0.25">
      <c r="A128" s="2" t="s">
        <v>90</v>
      </c>
      <c r="B128">
        <v>4480500000</v>
      </c>
      <c r="C128">
        <v>3.59</v>
      </c>
      <c r="D128">
        <v>251998000</v>
      </c>
      <c r="F128">
        <v>3986663000</v>
      </c>
      <c r="G128">
        <v>58471000</v>
      </c>
      <c r="H128">
        <v>493837000</v>
      </c>
      <c r="I128">
        <v>9271469003.5900002</v>
      </c>
    </row>
    <row r="129" spans="1:9" x14ac:dyDescent="0.25">
      <c r="A129" s="2" t="s">
        <v>92</v>
      </c>
      <c r="B129">
        <v>3064564000</v>
      </c>
      <c r="C129">
        <v>7.62</v>
      </c>
      <c r="D129">
        <v>159168000</v>
      </c>
      <c r="F129">
        <v>2726513000</v>
      </c>
      <c r="G129">
        <v>36572000</v>
      </c>
      <c r="H129">
        <v>338051000</v>
      </c>
      <c r="I129">
        <v>6324868007.6199999</v>
      </c>
    </row>
    <row r="130" spans="1:9" x14ac:dyDescent="0.25">
      <c r="A130" s="2" t="s">
        <v>94</v>
      </c>
      <c r="B130">
        <v>1582654000</v>
      </c>
      <c r="C130">
        <v>3.31</v>
      </c>
      <c r="D130">
        <v>85237000</v>
      </c>
      <c r="F130">
        <v>1412397000</v>
      </c>
      <c r="G130">
        <v>15601000</v>
      </c>
      <c r="H130">
        <v>170257000</v>
      </c>
      <c r="I130">
        <v>3266146003.3099999</v>
      </c>
    </row>
    <row r="131" spans="1:9" x14ac:dyDescent="0.25">
      <c r="A131" s="2" t="s">
        <v>96</v>
      </c>
      <c r="B131">
        <v>5690110000</v>
      </c>
      <c r="C131">
        <v>134.96</v>
      </c>
      <c r="D131">
        <v>279492000</v>
      </c>
      <c r="F131">
        <v>5044596000</v>
      </c>
      <c r="G131">
        <v>93605000</v>
      </c>
      <c r="H131">
        <v>645514000</v>
      </c>
      <c r="I131">
        <v>11753317134.959999</v>
      </c>
    </row>
    <row r="132" spans="1:9" x14ac:dyDescent="0.25">
      <c r="A132" s="2" t="s">
        <v>98</v>
      </c>
      <c r="B132">
        <v>6440700000</v>
      </c>
      <c r="C132">
        <v>3.26</v>
      </c>
      <c r="D132">
        <v>259416000</v>
      </c>
      <c r="F132">
        <v>5754111000</v>
      </c>
      <c r="G132">
        <v>61137000</v>
      </c>
      <c r="H132">
        <v>686589000</v>
      </c>
      <c r="I132">
        <v>13201953003.26</v>
      </c>
    </row>
    <row r="133" spans="1:9" x14ac:dyDescent="0.25">
      <c r="A133" s="2" t="s">
        <v>100</v>
      </c>
      <c r="B133">
        <v>1963640000</v>
      </c>
      <c r="C133">
        <v>4.5599999999999996</v>
      </c>
      <c r="D133">
        <v>128758000</v>
      </c>
      <c r="F133">
        <v>1712645000</v>
      </c>
      <c r="G133">
        <v>43069000</v>
      </c>
      <c r="H133">
        <v>250995000</v>
      </c>
      <c r="I133">
        <v>4099107004.5599999</v>
      </c>
    </row>
    <row r="134" spans="1:9" x14ac:dyDescent="0.25">
      <c r="A134" s="2" t="s">
        <v>436</v>
      </c>
      <c r="B134">
        <v>4142244000</v>
      </c>
      <c r="C134">
        <v>1.92</v>
      </c>
      <c r="D134">
        <v>192225000</v>
      </c>
      <c r="F134">
        <v>3876259000</v>
      </c>
      <c r="G134">
        <v>32560000</v>
      </c>
      <c r="H134">
        <v>265985000</v>
      </c>
      <c r="I134">
        <v>8509273001.9200001</v>
      </c>
    </row>
    <row r="135" spans="1:9" x14ac:dyDescent="0.25">
      <c r="A135" s="2" t="s">
        <v>438</v>
      </c>
      <c r="B135">
        <v>17727190000</v>
      </c>
      <c r="C135">
        <v>5.0599999999999996</v>
      </c>
      <c r="D135">
        <v>990427000</v>
      </c>
      <c r="F135">
        <v>15876843000</v>
      </c>
      <c r="G135">
        <v>276603000</v>
      </c>
      <c r="H135">
        <v>1849847000</v>
      </c>
      <c r="I135">
        <v>36720910005.059998</v>
      </c>
    </row>
    <row r="136" spans="1:9" x14ac:dyDescent="0.25">
      <c r="A136" s="2" t="s">
        <v>440</v>
      </c>
      <c r="B136">
        <v>5960180000</v>
      </c>
      <c r="C136">
        <v>4.5199999999999996</v>
      </c>
      <c r="D136">
        <v>230980000</v>
      </c>
      <c r="F136">
        <v>5026671000</v>
      </c>
      <c r="G136">
        <v>116173000</v>
      </c>
      <c r="H136">
        <v>933509000</v>
      </c>
      <c r="I136">
        <v>12267513004.52</v>
      </c>
    </row>
    <row r="137" spans="1:9" x14ac:dyDescent="0.25">
      <c r="A137" s="2" t="s">
        <v>442</v>
      </c>
      <c r="B137">
        <v>9185107000</v>
      </c>
      <c r="C137">
        <v>10.06</v>
      </c>
      <c r="D137">
        <v>470950000</v>
      </c>
      <c r="F137">
        <v>7927445000</v>
      </c>
      <c r="G137">
        <v>150686000</v>
      </c>
      <c r="H137">
        <v>1257662000</v>
      </c>
      <c r="I137">
        <v>18991850010.059998</v>
      </c>
    </row>
    <row r="138" spans="1:9" x14ac:dyDescent="0.25">
      <c r="A138" s="2" t="s">
        <v>102</v>
      </c>
      <c r="B138">
        <v>1673199000</v>
      </c>
      <c r="C138">
        <v>6.85</v>
      </c>
      <c r="D138">
        <v>88018000</v>
      </c>
      <c r="F138">
        <v>1480658000</v>
      </c>
      <c r="G138">
        <v>24225000</v>
      </c>
      <c r="H138">
        <v>192541000</v>
      </c>
      <c r="I138">
        <v>3458641006.8499999</v>
      </c>
    </row>
    <row r="139" spans="1:9" x14ac:dyDescent="0.25">
      <c r="A139" s="2" t="s">
        <v>104</v>
      </c>
      <c r="B139">
        <v>2257727000</v>
      </c>
      <c r="C139">
        <v>3.8</v>
      </c>
      <c r="D139">
        <v>106109000</v>
      </c>
      <c r="F139">
        <v>2096673000</v>
      </c>
      <c r="G139">
        <v>21559000</v>
      </c>
      <c r="H139">
        <v>161054000</v>
      </c>
      <c r="I139">
        <v>4643122003.8000002</v>
      </c>
    </row>
    <row r="140" spans="1:9" x14ac:dyDescent="0.25">
      <c r="A140" s="2" t="s">
        <v>444</v>
      </c>
      <c r="B140">
        <v>18925211000</v>
      </c>
      <c r="C140">
        <v>3.72</v>
      </c>
      <c r="D140">
        <v>948622000</v>
      </c>
      <c r="F140">
        <v>16803534000</v>
      </c>
      <c r="G140">
        <v>224135000</v>
      </c>
      <c r="H140">
        <v>2121677000</v>
      </c>
      <c r="I140">
        <v>39023179003.720001</v>
      </c>
    </row>
    <row r="141" spans="1:9" x14ac:dyDescent="0.25">
      <c r="A141" s="2" t="s">
        <v>446</v>
      </c>
      <c r="B141">
        <v>4081887000</v>
      </c>
      <c r="C141">
        <v>5.94</v>
      </c>
      <c r="D141">
        <v>247310000</v>
      </c>
      <c r="F141">
        <v>3710302000</v>
      </c>
      <c r="G141">
        <v>50319000</v>
      </c>
      <c r="H141">
        <v>371585000</v>
      </c>
      <c r="I141">
        <v>8461403005.9400005</v>
      </c>
    </row>
    <row r="142" spans="1:9" x14ac:dyDescent="0.25">
      <c r="A142" s="2" t="s">
        <v>448</v>
      </c>
      <c r="B142">
        <v>15446476000</v>
      </c>
      <c r="C142">
        <v>1.77</v>
      </c>
      <c r="D142">
        <v>702480000</v>
      </c>
      <c r="F142">
        <v>13529159000</v>
      </c>
      <c r="G142">
        <v>253579000</v>
      </c>
      <c r="H142">
        <v>1917317000</v>
      </c>
      <c r="I142">
        <v>31849011001.77</v>
      </c>
    </row>
    <row r="143" spans="1:9" x14ac:dyDescent="0.25">
      <c r="A143" s="2" t="s">
        <v>450</v>
      </c>
      <c r="B143">
        <v>14838893000</v>
      </c>
      <c r="C143">
        <v>7.22</v>
      </c>
      <c r="D143">
        <v>760254000</v>
      </c>
      <c r="F143">
        <v>12984768000</v>
      </c>
      <c r="G143">
        <v>240610000</v>
      </c>
      <c r="H143">
        <v>1854125000</v>
      </c>
      <c r="I143">
        <v>30678650007.220001</v>
      </c>
    </row>
    <row r="144" spans="1:9" x14ac:dyDescent="0.25">
      <c r="A144" s="2" t="s">
        <v>452</v>
      </c>
      <c r="B144">
        <v>73094090000</v>
      </c>
      <c r="C144">
        <v>9.35</v>
      </c>
      <c r="D144">
        <v>3354280000</v>
      </c>
      <c r="F144">
        <v>65400522000</v>
      </c>
      <c r="G144">
        <v>702398000</v>
      </c>
      <c r="H144">
        <v>7693568000</v>
      </c>
      <c r="I144">
        <v>150244858009.35001</v>
      </c>
    </row>
    <row r="145" spans="1:9" x14ac:dyDescent="0.25">
      <c r="A145" s="2" t="s">
        <v>454</v>
      </c>
      <c r="B145">
        <v>38463425000</v>
      </c>
      <c r="C145">
        <v>5.72</v>
      </c>
      <c r="D145">
        <v>1570323000</v>
      </c>
      <c r="F145">
        <v>30847285000</v>
      </c>
      <c r="G145">
        <v>542843000</v>
      </c>
      <c r="H145">
        <v>7616140000</v>
      </c>
      <c r="I145">
        <v>79040016005.720001</v>
      </c>
    </row>
    <row r="146" spans="1:9" x14ac:dyDescent="0.25">
      <c r="A146" s="2" t="s">
        <v>456</v>
      </c>
      <c r="B146">
        <v>35472762000</v>
      </c>
      <c r="C146">
        <v>5.7</v>
      </c>
      <c r="D146">
        <v>1614620000</v>
      </c>
      <c r="F146">
        <v>31012645000</v>
      </c>
      <c r="G146">
        <v>486073000</v>
      </c>
      <c r="H146">
        <v>4460117000</v>
      </c>
      <c r="I146">
        <v>73046217005.699997</v>
      </c>
    </row>
    <row r="147" spans="1:9" x14ac:dyDescent="0.25">
      <c r="A147" s="2" t="s">
        <v>458</v>
      </c>
      <c r="B147">
        <v>7966658000</v>
      </c>
      <c r="C147">
        <v>3.84</v>
      </c>
      <c r="D147">
        <v>372990000</v>
      </c>
      <c r="F147">
        <v>7007966000</v>
      </c>
      <c r="G147">
        <v>91749000</v>
      </c>
      <c r="H147">
        <v>958692000</v>
      </c>
      <c r="I147">
        <v>16398055003.84</v>
      </c>
    </row>
    <row r="148" spans="1:9" x14ac:dyDescent="0.25">
      <c r="A148" s="2" t="s">
        <v>460</v>
      </c>
      <c r="B148">
        <v>33660281000</v>
      </c>
      <c r="C148">
        <v>3.28</v>
      </c>
      <c r="D148">
        <v>1685853000</v>
      </c>
      <c r="F148">
        <v>28164298000</v>
      </c>
      <c r="G148">
        <v>464603000</v>
      </c>
      <c r="H148">
        <v>5495983000</v>
      </c>
      <c r="I148">
        <v>69471018003.279999</v>
      </c>
    </row>
    <row r="149" spans="1:9" x14ac:dyDescent="0.25">
      <c r="A149" s="2" t="s">
        <v>462</v>
      </c>
      <c r="B149">
        <v>7869185000</v>
      </c>
      <c r="C149">
        <v>2.5299999999999998</v>
      </c>
      <c r="D149">
        <v>410928000</v>
      </c>
      <c r="F149">
        <v>7072799000</v>
      </c>
      <c r="G149">
        <v>76089000</v>
      </c>
      <c r="H149">
        <v>796386000</v>
      </c>
      <c r="I149">
        <v>16225387002.529999</v>
      </c>
    </row>
    <row r="150" spans="1:9" x14ac:dyDescent="0.25">
      <c r="A150" s="2" t="s">
        <v>464</v>
      </c>
      <c r="B150">
        <v>5878956000</v>
      </c>
      <c r="C150">
        <v>6.28</v>
      </c>
      <c r="D150">
        <v>326187000</v>
      </c>
      <c r="F150">
        <v>5297271000</v>
      </c>
      <c r="G150">
        <v>75699000</v>
      </c>
      <c r="I150">
        <v>11578113006.279999</v>
      </c>
    </row>
    <row r="151" spans="1:9" x14ac:dyDescent="0.25">
      <c r="A151" s="2" t="s">
        <v>466</v>
      </c>
      <c r="B151">
        <v>9652676000</v>
      </c>
      <c r="C151">
        <v>2.9</v>
      </c>
      <c r="D151">
        <v>572220000</v>
      </c>
      <c r="F151">
        <v>8384770000</v>
      </c>
      <c r="G151">
        <v>130051000</v>
      </c>
      <c r="H151">
        <v>1267906000</v>
      </c>
      <c r="I151">
        <v>20007623002.900002</v>
      </c>
    </row>
    <row r="152" spans="1:9" x14ac:dyDescent="0.25">
      <c r="A152" s="2" t="s">
        <v>468</v>
      </c>
      <c r="B152">
        <v>15631054000</v>
      </c>
      <c r="C152">
        <v>1.52</v>
      </c>
      <c r="D152">
        <v>593301000</v>
      </c>
      <c r="F152">
        <v>13335830000</v>
      </c>
      <c r="G152">
        <v>209298000</v>
      </c>
      <c r="H152">
        <v>2295224000</v>
      </c>
      <c r="I152">
        <v>32064707001.52</v>
      </c>
    </row>
    <row r="153" spans="1:9" x14ac:dyDescent="0.25">
      <c r="A153" s="2" t="s">
        <v>470</v>
      </c>
      <c r="B153">
        <v>27696333000</v>
      </c>
      <c r="C153">
        <v>2.23</v>
      </c>
      <c r="D153">
        <v>1271940000</v>
      </c>
      <c r="F153">
        <v>23664420000</v>
      </c>
      <c r="G153">
        <v>223105000</v>
      </c>
      <c r="H153">
        <v>4031913000</v>
      </c>
      <c r="I153">
        <v>56887711002.229996</v>
      </c>
    </row>
    <row r="154" spans="1:9" x14ac:dyDescent="0.25">
      <c r="A154" s="2" t="s">
        <v>106</v>
      </c>
      <c r="B154">
        <v>75348267000</v>
      </c>
      <c r="C154">
        <v>12.31</v>
      </c>
      <c r="D154">
        <v>3783009000</v>
      </c>
      <c r="F154">
        <v>69099188000</v>
      </c>
      <c r="G154">
        <v>833159000</v>
      </c>
      <c r="H154">
        <v>6249079000</v>
      </c>
      <c r="I154">
        <v>155312702012.31</v>
      </c>
    </row>
    <row r="155" spans="1:9" x14ac:dyDescent="0.25">
      <c r="A155" s="2" t="s">
        <v>108</v>
      </c>
      <c r="B155">
        <v>1196345000</v>
      </c>
      <c r="C155">
        <v>1.49</v>
      </c>
      <c r="D155">
        <v>57820000</v>
      </c>
      <c r="F155">
        <v>1120788000</v>
      </c>
      <c r="H155">
        <v>64902000</v>
      </c>
      <c r="I155">
        <v>2439855001.4899998</v>
      </c>
    </row>
    <row r="156" spans="1:9" x14ac:dyDescent="0.25">
      <c r="A156" s="2" t="s">
        <v>110</v>
      </c>
      <c r="B156">
        <v>6373172000</v>
      </c>
      <c r="C156">
        <v>1.24</v>
      </c>
      <c r="D156">
        <v>330835000</v>
      </c>
      <c r="F156">
        <v>5641118000</v>
      </c>
      <c r="G156">
        <v>22726000</v>
      </c>
      <c r="H156">
        <v>732054000</v>
      </c>
      <c r="I156">
        <v>13099905001.24</v>
      </c>
    </row>
    <row r="157" spans="1:9" x14ac:dyDescent="0.25">
      <c r="A157" s="2" t="s">
        <v>112</v>
      </c>
      <c r="B157">
        <v>4336453000</v>
      </c>
      <c r="C157">
        <v>2.64</v>
      </c>
      <c r="D157">
        <v>220985000</v>
      </c>
      <c r="F157">
        <v>3792979000</v>
      </c>
      <c r="G157">
        <v>46212000</v>
      </c>
      <c r="H157">
        <v>543474000</v>
      </c>
      <c r="I157">
        <v>8940103002.6399994</v>
      </c>
    </row>
    <row r="158" spans="1:9" x14ac:dyDescent="0.25">
      <c r="A158" s="2" t="s">
        <v>114</v>
      </c>
      <c r="B158">
        <v>8078448000</v>
      </c>
      <c r="C158">
        <v>6.76</v>
      </c>
      <c r="E158">
        <v>432617000</v>
      </c>
      <c r="F158">
        <v>7226430000</v>
      </c>
      <c r="G158">
        <v>82353000</v>
      </c>
      <c r="H158">
        <v>746701000</v>
      </c>
      <c r="I158">
        <v>16566549006.76</v>
      </c>
    </row>
    <row r="159" spans="1:9" x14ac:dyDescent="0.25">
      <c r="A159" s="2" t="s">
        <v>116</v>
      </c>
      <c r="B159">
        <v>6274140000</v>
      </c>
      <c r="C159">
        <v>3.65</v>
      </c>
      <c r="D159">
        <v>332989000</v>
      </c>
      <c r="F159">
        <v>5645286000</v>
      </c>
      <c r="G159">
        <v>74867000</v>
      </c>
      <c r="H159">
        <v>628854000</v>
      </c>
      <c r="I159">
        <v>12956136003.65</v>
      </c>
    </row>
    <row r="160" spans="1:9" x14ac:dyDescent="0.25">
      <c r="A160" s="2" t="s">
        <v>118</v>
      </c>
      <c r="B160">
        <v>3787385000</v>
      </c>
      <c r="C160">
        <v>5.43</v>
      </c>
      <c r="D160">
        <v>197611000</v>
      </c>
      <c r="F160">
        <v>3487525000</v>
      </c>
      <c r="G160">
        <v>42105000</v>
      </c>
      <c r="H160">
        <v>293627000</v>
      </c>
      <c r="I160">
        <v>7808253005.4300003</v>
      </c>
    </row>
    <row r="161" spans="1:9" x14ac:dyDescent="0.25">
      <c r="A161" s="2" t="s">
        <v>120</v>
      </c>
      <c r="B161">
        <v>1154785000</v>
      </c>
      <c r="C161">
        <v>1.03</v>
      </c>
      <c r="D161">
        <v>59415000</v>
      </c>
      <c r="F161">
        <v>1049137000</v>
      </c>
      <c r="G161">
        <v>5992000</v>
      </c>
      <c r="I161">
        <v>2269329001.0299997</v>
      </c>
    </row>
    <row r="162" spans="1:9" x14ac:dyDescent="0.25">
      <c r="A162" s="2" t="s">
        <v>122</v>
      </c>
      <c r="B162">
        <v>2117321000</v>
      </c>
      <c r="C162">
        <v>2.7</v>
      </c>
      <c r="D162">
        <v>119995000</v>
      </c>
      <c r="F162">
        <v>1932895000</v>
      </c>
      <c r="G162">
        <v>17541000</v>
      </c>
      <c r="H162">
        <v>184426000</v>
      </c>
      <c r="I162">
        <v>4372178002.6999998</v>
      </c>
    </row>
    <row r="163" spans="1:9" x14ac:dyDescent="0.25">
      <c r="A163" s="2" t="s">
        <v>124</v>
      </c>
      <c r="B163">
        <v>2306586000</v>
      </c>
      <c r="C163">
        <v>2.2400000000000002</v>
      </c>
      <c r="D163">
        <v>127713000</v>
      </c>
      <c r="F163">
        <v>2047057000</v>
      </c>
      <c r="G163">
        <v>24892000</v>
      </c>
      <c r="H163">
        <v>259529000</v>
      </c>
      <c r="I163">
        <v>4765777002.2399998</v>
      </c>
    </row>
    <row r="164" spans="1:9" x14ac:dyDescent="0.25">
      <c r="A164" s="2" t="s">
        <v>126</v>
      </c>
      <c r="B164">
        <v>3070929000</v>
      </c>
      <c r="C164">
        <v>0.9</v>
      </c>
      <c r="D164">
        <v>164589000</v>
      </c>
      <c r="F164">
        <v>2764497000</v>
      </c>
      <c r="G164">
        <v>33511000</v>
      </c>
      <c r="I164">
        <v>6033526000.8999996</v>
      </c>
    </row>
    <row r="165" spans="1:9" x14ac:dyDescent="0.25">
      <c r="A165" s="2" t="s">
        <v>128</v>
      </c>
      <c r="B165">
        <v>2432589000</v>
      </c>
      <c r="D165">
        <v>137773000</v>
      </c>
      <c r="F165">
        <v>2108898000</v>
      </c>
      <c r="I165">
        <v>4679260000</v>
      </c>
    </row>
    <row r="166" spans="1:9" x14ac:dyDescent="0.25">
      <c r="A166" s="2" t="s">
        <v>130</v>
      </c>
      <c r="B166">
        <v>4410551000</v>
      </c>
      <c r="C166">
        <v>2.02</v>
      </c>
      <c r="D166">
        <v>202958000</v>
      </c>
      <c r="F166">
        <v>3945198000</v>
      </c>
      <c r="G166">
        <v>28176000</v>
      </c>
      <c r="H166">
        <v>465353000</v>
      </c>
      <c r="I166">
        <v>9052236002.0200005</v>
      </c>
    </row>
    <row r="167" spans="1:9" x14ac:dyDescent="0.25">
      <c r="A167" s="2" t="s">
        <v>132</v>
      </c>
      <c r="B167">
        <v>2285147000</v>
      </c>
      <c r="C167">
        <v>2.73</v>
      </c>
      <c r="D167">
        <v>130552000</v>
      </c>
      <c r="F167">
        <v>2014435000</v>
      </c>
      <c r="G167">
        <v>18611000</v>
      </c>
      <c r="H167">
        <v>270712000</v>
      </c>
      <c r="I167">
        <v>4719457002.7299995</v>
      </c>
    </row>
    <row r="168" spans="1:9" x14ac:dyDescent="0.25">
      <c r="A168" s="2" t="s">
        <v>134</v>
      </c>
      <c r="B168">
        <v>1906005000</v>
      </c>
      <c r="C168">
        <v>3.79</v>
      </c>
      <c r="D168">
        <v>92638000</v>
      </c>
      <c r="F168">
        <v>1776442000</v>
      </c>
      <c r="G168">
        <v>14090000</v>
      </c>
      <c r="H168">
        <v>129563000</v>
      </c>
      <c r="I168">
        <v>3918738003.79</v>
      </c>
    </row>
    <row r="169" spans="1:9" x14ac:dyDescent="0.25">
      <c r="A169" s="2" t="s">
        <v>136</v>
      </c>
      <c r="B169">
        <v>1292736000</v>
      </c>
      <c r="C169">
        <v>5.07</v>
      </c>
      <c r="D169">
        <v>57037000</v>
      </c>
      <c r="F169">
        <v>1166456000</v>
      </c>
      <c r="G169">
        <v>13363000</v>
      </c>
      <c r="H169">
        <v>126280000</v>
      </c>
      <c r="I169">
        <v>2655872005.0699997</v>
      </c>
    </row>
    <row r="170" spans="1:9" x14ac:dyDescent="0.25">
      <c r="A170" s="2" t="s">
        <v>138</v>
      </c>
      <c r="B170">
        <v>1018797000</v>
      </c>
      <c r="C170">
        <v>2.08</v>
      </c>
      <c r="D170">
        <v>40768000</v>
      </c>
      <c r="F170">
        <v>926744000</v>
      </c>
      <c r="I170">
        <v>1986309002.0799999</v>
      </c>
    </row>
    <row r="171" spans="1:9" x14ac:dyDescent="0.25">
      <c r="A171" s="2" t="s">
        <v>140</v>
      </c>
      <c r="B171">
        <v>1824506000</v>
      </c>
      <c r="C171">
        <v>2.4900000000000002</v>
      </c>
      <c r="D171">
        <v>75313000</v>
      </c>
      <c r="F171">
        <v>1639598000</v>
      </c>
      <c r="G171">
        <v>15826000</v>
      </c>
      <c r="H171">
        <v>184908000</v>
      </c>
      <c r="I171">
        <v>3740151002.4899998</v>
      </c>
    </row>
    <row r="172" spans="1:9" x14ac:dyDescent="0.25">
      <c r="A172" s="2" t="s">
        <v>142</v>
      </c>
      <c r="B172">
        <v>1649742000</v>
      </c>
      <c r="C172">
        <v>3.57</v>
      </c>
      <c r="D172">
        <v>77246000</v>
      </c>
      <c r="F172">
        <v>1465581000</v>
      </c>
      <c r="G172">
        <v>19261000</v>
      </c>
      <c r="H172">
        <v>184161000</v>
      </c>
      <c r="I172">
        <v>3395991003.5699997</v>
      </c>
    </row>
    <row r="173" spans="1:9" x14ac:dyDescent="0.25">
      <c r="A173" s="2" t="s">
        <v>144</v>
      </c>
      <c r="B173">
        <v>1359491000</v>
      </c>
      <c r="C173">
        <v>1.46</v>
      </c>
      <c r="D173">
        <v>84326000</v>
      </c>
      <c r="F173">
        <v>1193736000</v>
      </c>
      <c r="G173">
        <v>20929000</v>
      </c>
      <c r="H173">
        <v>165755000</v>
      </c>
      <c r="I173">
        <v>2824237001.46</v>
      </c>
    </row>
    <row r="174" spans="1:9" x14ac:dyDescent="0.25">
      <c r="A174" s="2" t="s">
        <v>146</v>
      </c>
      <c r="B174">
        <v>1426636000</v>
      </c>
      <c r="D174">
        <v>76653000</v>
      </c>
      <c r="F174">
        <v>1304185000</v>
      </c>
      <c r="G174">
        <v>-1933000</v>
      </c>
      <c r="H174">
        <v>122451000</v>
      </c>
      <c r="I174">
        <v>2927992000</v>
      </c>
    </row>
    <row r="175" spans="1:9" x14ac:dyDescent="0.25">
      <c r="A175" s="2" t="s">
        <v>472</v>
      </c>
      <c r="B175">
        <v>4403494000</v>
      </c>
      <c r="C175">
        <v>3.75</v>
      </c>
      <c r="D175">
        <v>211481000</v>
      </c>
      <c r="F175">
        <v>4034837000</v>
      </c>
      <c r="G175">
        <v>30366000</v>
      </c>
      <c r="H175">
        <v>368657000</v>
      </c>
      <c r="I175">
        <v>9048835003.75</v>
      </c>
    </row>
    <row r="176" spans="1:9" x14ac:dyDescent="0.25">
      <c r="A176" s="2" t="s">
        <v>148</v>
      </c>
      <c r="B176">
        <v>1545367000</v>
      </c>
      <c r="C176">
        <v>2.19</v>
      </c>
      <c r="E176">
        <v>73920000</v>
      </c>
      <c r="F176">
        <v>1404131000</v>
      </c>
      <c r="G176">
        <v>13974000</v>
      </c>
      <c r="H176">
        <v>141236000</v>
      </c>
      <c r="I176">
        <v>3178628002.1900001</v>
      </c>
    </row>
    <row r="177" spans="1:9" x14ac:dyDescent="0.25">
      <c r="A177" s="2" t="s">
        <v>150</v>
      </c>
      <c r="B177">
        <v>2291454981</v>
      </c>
      <c r="C177">
        <v>2.95</v>
      </c>
      <c r="D177">
        <v>121604088</v>
      </c>
      <c r="F177">
        <v>2006111149</v>
      </c>
      <c r="G177">
        <v>37196198</v>
      </c>
      <c r="H177">
        <v>285343832</v>
      </c>
      <c r="I177">
        <v>4741710250.9499998</v>
      </c>
    </row>
    <row r="178" spans="1:9" x14ac:dyDescent="0.25">
      <c r="A178" s="2" t="s">
        <v>152</v>
      </c>
      <c r="B178">
        <v>1039024000</v>
      </c>
      <c r="C178">
        <v>1.99</v>
      </c>
      <c r="D178">
        <v>46655000</v>
      </c>
      <c r="F178">
        <v>958976000</v>
      </c>
      <c r="G178">
        <v>9022000</v>
      </c>
      <c r="H178">
        <v>80048000</v>
      </c>
      <c r="I178">
        <v>2133725001.99</v>
      </c>
    </row>
    <row r="179" spans="1:9" x14ac:dyDescent="0.25">
      <c r="A179" s="2" t="s">
        <v>154</v>
      </c>
      <c r="B179">
        <v>3308918000</v>
      </c>
      <c r="C179">
        <v>2.11</v>
      </c>
      <c r="D179">
        <v>175323000</v>
      </c>
      <c r="F179">
        <v>2974950000</v>
      </c>
      <c r="H179">
        <v>333968000</v>
      </c>
      <c r="I179">
        <v>6793159002.1100006</v>
      </c>
    </row>
    <row r="180" spans="1:9" x14ac:dyDescent="0.25">
      <c r="A180" s="2" t="s">
        <v>474</v>
      </c>
      <c r="B180">
        <v>158814000000</v>
      </c>
      <c r="C180">
        <v>2.31</v>
      </c>
      <c r="D180">
        <v>7073000000</v>
      </c>
      <c r="F180">
        <v>139711000000</v>
      </c>
      <c r="G180">
        <v>2156000000</v>
      </c>
      <c r="H180">
        <v>19043000000</v>
      </c>
      <c r="I180">
        <v>326797000002.31</v>
      </c>
    </row>
    <row r="181" spans="1:9" x14ac:dyDescent="0.25">
      <c r="A181" s="2" t="s">
        <v>476</v>
      </c>
      <c r="B181">
        <v>9352425000</v>
      </c>
      <c r="C181">
        <v>4.99</v>
      </c>
      <c r="D181">
        <v>551369000</v>
      </c>
      <c r="F181">
        <v>8662629000</v>
      </c>
      <c r="G181">
        <v>228213000</v>
      </c>
      <c r="H181">
        <v>689796000</v>
      </c>
      <c r="I181">
        <v>19484432004.989998</v>
      </c>
    </row>
    <row r="182" spans="1:9" x14ac:dyDescent="0.25">
      <c r="A182" s="2" t="s">
        <v>478</v>
      </c>
      <c r="B182">
        <v>22881879000</v>
      </c>
      <c r="C182">
        <v>2.41</v>
      </c>
      <c r="D182">
        <v>1278820000</v>
      </c>
      <c r="F182">
        <v>18585008000</v>
      </c>
      <c r="G182">
        <v>475441000</v>
      </c>
      <c r="H182">
        <v>4296871000</v>
      </c>
      <c r="I182">
        <v>47518019002.410004</v>
      </c>
    </row>
    <row r="183" spans="1:9" x14ac:dyDescent="0.25">
      <c r="A183" s="2" t="s">
        <v>156</v>
      </c>
      <c r="B183">
        <v>7022825000</v>
      </c>
      <c r="C183">
        <v>2.14</v>
      </c>
      <c r="E183">
        <v>380204000</v>
      </c>
      <c r="F183">
        <v>6453783000</v>
      </c>
      <c r="G183">
        <v>83409000</v>
      </c>
      <c r="H183">
        <v>569042000</v>
      </c>
      <c r="I183">
        <v>14509263002.139999</v>
      </c>
    </row>
    <row r="184" spans="1:9" x14ac:dyDescent="0.25">
      <c r="A184" s="2" t="s">
        <v>480</v>
      </c>
      <c r="B184">
        <v>472300000000</v>
      </c>
      <c r="C184">
        <v>7.47</v>
      </c>
      <c r="D184">
        <v>25626000000</v>
      </c>
      <c r="F184">
        <v>427492000000</v>
      </c>
      <c r="G184">
        <v>5549000000</v>
      </c>
      <c r="H184">
        <v>44313000000</v>
      </c>
      <c r="I184">
        <v>975280000007.46997</v>
      </c>
    </row>
    <row r="185" spans="1:9" x14ac:dyDescent="0.25">
      <c r="A185" s="2" t="s">
        <v>158</v>
      </c>
      <c r="B185">
        <v>3904778000</v>
      </c>
      <c r="C185">
        <v>-2.2400000000000002</v>
      </c>
      <c r="D185">
        <v>152428000</v>
      </c>
      <c r="E185">
        <v>38467000</v>
      </c>
      <c r="F185">
        <v>3510124000</v>
      </c>
      <c r="G185">
        <v>-35675000</v>
      </c>
      <c r="H185">
        <v>394654000</v>
      </c>
      <c r="I185">
        <v>7964775997.7600002</v>
      </c>
    </row>
    <row r="186" spans="1:9" x14ac:dyDescent="0.25">
      <c r="A186" s="2" t="s">
        <v>160</v>
      </c>
      <c r="B186">
        <v>3606207000</v>
      </c>
      <c r="C186">
        <v>3.45</v>
      </c>
      <c r="D186">
        <v>260871000</v>
      </c>
      <c r="F186">
        <v>3204450000</v>
      </c>
      <c r="G186">
        <v>57170000</v>
      </c>
      <c r="H186">
        <v>401757000</v>
      </c>
      <c r="I186">
        <v>7530455003.4499998</v>
      </c>
    </row>
    <row r="187" spans="1:9" x14ac:dyDescent="0.25">
      <c r="A187" s="2" t="s">
        <v>162</v>
      </c>
      <c r="B187">
        <v>3281771000</v>
      </c>
      <c r="C187">
        <v>2.59</v>
      </c>
      <c r="D187">
        <v>197536000</v>
      </c>
      <c r="F187">
        <v>2891745000</v>
      </c>
      <c r="G187">
        <v>37453000</v>
      </c>
      <c r="H187">
        <v>390026000</v>
      </c>
      <c r="I187">
        <v>6798531002.5900002</v>
      </c>
    </row>
    <row r="188" spans="1:9" x14ac:dyDescent="0.25">
      <c r="A188" s="2" t="s">
        <v>482</v>
      </c>
      <c r="B188">
        <v>14002700000</v>
      </c>
      <c r="C188">
        <v>1.64</v>
      </c>
      <c r="D188">
        <v>644868000</v>
      </c>
      <c r="F188">
        <v>12429360000</v>
      </c>
      <c r="G188">
        <v>80443000</v>
      </c>
      <c r="H188">
        <v>1573340000</v>
      </c>
      <c r="I188">
        <v>28730711001.639999</v>
      </c>
    </row>
    <row r="189" spans="1:9" x14ac:dyDescent="0.25">
      <c r="A189" s="2" t="s">
        <v>484</v>
      </c>
      <c r="B189">
        <v>9536124000</v>
      </c>
      <c r="C189">
        <v>4.7699999999999996</v>
      </c>
      <c r="D189">
        <v>467589000</v>
      </c>
      <c r="F189">
        <v>8460427000</v>
      </c>
      <c r="G189">
        <v>140150000</v>
      </c>
      <c r="H189">
        <v>1075697000</v>
      </c>
      <c r="I189">
        <v>19679987004.77</v>
      </c>
    </row>
    <row r="190" spans="1:9" x14ac:dyDescent="0.25">
      <c r="A190" s="2" t="s">
        <v>486</v>
      </c>
      <c r="B190">
        <v>6835219000</v>
      </c>
      <c r="C190">
        <v>5.47</v>
      </c>
      <c r="D190">
        <v>330194000</v>
      </c>
      <c r="F190">
        <v>6110335000</v>
      </c>
      <c r="G190">
        <v>88753000</v>
      </c>
      <c r="H190">
        <v>724884000</v>
      </c>
      <c r="I190">
        <v>14089385005.470001</v>
      </c>
    </row>
    <row r="191" spans="1:9" x14ac:dyDescent="0.25">
      <c r="A191" s="2" t="s">
        <v>164</v>
      </c>
      <c r="B191">
        <v>24229575000</v>
      </c>
      <c r="C191">
        <v>4.55</v>
      </c>
      <c r="D191">
        <v>1309260000</v>
      </c>
      <c r="F191">
        <v>21304187000</v>
      </c>
      <c r="G191">
        <v>315124000</v>
      </c>
      <c r="H191">
        <v>2925388000</v>
      </c>
      <c r="I191">
        <v>50083534004.550003</v>
      </c>
    </row>
    <row r="192" spans="1:9" x14ac:dyDescent="0.25">
      <c r="A192" s="2" t="s">
        <v>166</v>
      </c>
      <c r="B192">
        <v>5230084000</v>
      </c>
      <c r="C192">
        <v>0.69</v>
      </c>
      <c r="D192">
        <v>279636000</v>
      </c>
      <c r="F192">
        <v>4665150000</v>
      </c>
      <c r="G192">
        <v>17439000</v>
      </c>
      <c r="H192">
        <v>564934000</v>
      </c>
      <c r="I192">
        <v>10757243000.689999</v>
      </c>
    </row>
    <row r="193" spans="1:9" x14ac:dyDescent="0.25">
      <c r="A193" s="2" t="s">
        <v>168</v>
      </c>
      <c r="B193">
        <v>5245870000</v>
      </c>
      <c r="C193">
        <v>1.46</v>
      </c>
      <c r="D193">
        <v>233792000</v>
      </c>
      <c r="F193">
        <v>4760145000</v>
      </c>
      <c r="G193">
        <v>54586000</v>
      </c>
      <c r="H193">
        <v>485725000</v>
      </c>
      <c r="I193">
        <v>10780118001.459999</v>
      </c>
    </row>
    <row r="194" spans="1:9" x14ac:dyDescent="0.25">
      <c r="A194" s="2" t="s">
        <v>170</v>
      </c>
      <c r="B194">
        <v>3259643000</v>
      </c>
      <c r="C194">
        <v>2.66</v>
      </c>
      <c r="D194">
        <v>142535000</v>
      </c>
      <c r="F194">
        <v>2759096000</v>
      </c>
      <c r="G194">
        <v>48794000</v>
      </c>
      <c r="H194">
        <v>500547000</v>
      </c>
      <c r="I194">
        <v>6710615002.6599998</v>
      </c>
    </row>
    <row r="195" spans="1:9" x14ac:dyDescent="0.25">
      <c r="A195" s="2" t="s">
        <v>172</v>
      </c>
      <c r="B195">
        <v>2106367000</v>
      </c>
      <c r="C195">
        <v>1.9</v>
      </c>
      <c r="D195">
        <v>108411000</v>
      </c>
      <c r="F195">
        <v>1914553000</v>
      </c>
      <c r="G195">
        <v>14835000</v>
      </c>
      <c r="H195">
        <v>191814000</v>
      </c>
      <c r="I195">
        <v>4335980001.8999996</v>
      </c>
    </row>
    <row r="196" spans="1:9" x14ac:dyDescent="0.25">
      <c r="A196" s="2" t="s">
        <v>174</v>
      </c>
      <c r="B196">
        <v>4208294000</v>
      </c>
      <c r="C196">
        <v>1.83</v>
      </c>
      <c r="D196">
        <v>221126000</v>
      </c>
      <c r="F196">
        <v>3684884000</v>
      </c>
      <c r="I196">
        <v>8114304001.8299999</v>
      </c>
    </row>
    <row r="197" spans="1:9" x14ac:dyDescent="0.25">
      <c r="A197" s="2" t="s">
        <v>176</v>
      </c>
      <c r="B197">
        <v>2249436000</v>
      </c>
      <c r="C197">
        <v>3.2</v>
      </c>
      <c r="D197">
        <v>142677000</v>
      </c>
      <c r="F197">
        <v>1924918000</v>
      </c>
      <c r="G197">
        <v>37775000</v>
      </c>
      <c r="H197">
        <v>324518000</v>
      </c>
      <c r="I197">
        <v>4679324003.1999998</v>
      </c>
    </row>
    <row r="198" spans="1:9" x14ac:dyDescent="0.25">
      <c r="A198" s="2" t="s">
        <v>178</v>
      </c>
      <c r="B198">
        <v>2240769000</v>
      </c>
      <c r="C198">
        <v>1.63</v>
      </c>
      <c r="D198">
        <v>102747000</v>
      </c>
      <c r="F198">
        <v>1966840000</v>
      </c>
      <c r="G198">
        <v>23120000</v>
      </c>
      <c r="H198">
        <v>273929000</v>
      </c>
      <c r="I198">
        <v>4607405001.6300001</v>
      </c>
    </row>
    <row r="199" spans="1:9" x14ac:dyDescent="0.25">
      <c r="A199" s="2" t="s">
        <v>180</v>
      </c>
      <c r="B199">
        <v>2133540000</v>
      </c>
      <c r="C199">
        <v>2.14</v>
      </c>
      <c r="D199">
        <v>87093000</v>
      </c>
      <c r="F199">
        <v>1925646000</v>
      </c>
      <c r="G199">
        <v>19027000</v>
      </c>
      <c r="H199">
        <v>207894000</v>
      </c>
      <c r="I199">
        <v>4373200002.1400003</v>
      </c>
    </row>
    <row r="200" spans="1:9" x14ac:dyDescent="0.25">
      <c r="A200" s="2" t="s">
        <v>182</v>
      </c>
      <c r="B200">
        <v>2212669000</v>
      </c>
      <c r="C200">
        <v>1.76</v>
      </c>
      <c r="D200">
        <v>131588000</v>
      </c>
      <c r="F200">
        <v>1994078000</v>
      </c>
      <c r="G200">
        <v>15613000</v>
      </c>
      <c r="H200">
        <v>218591000</v>
      </c>
      <c r="I200">
        <v>4572539001.7600002</v>
      </c>
    </row>
    <row r="201" spans="1:9" x14ac:dyDescent="0.25">
      <c r="A201" s="2" t="s">
        <v>184</v>
      </c>
      <c r="B201">
        <v>2748058000</v>
      </c>
      <c r="C201">
        <v>4.8899999999999997</v>
      </c>
      <c r="D201">
        <v>119839000</v>
      </c>
      <c r="F201">
        <v>2509198000</v>
      </c>
      <c r="G201">
        <v>28198000</v>
      </c>
      <c r="H201">
        <v>238860000</v>
      </c>
      <c r="I201">
        <v>5644153004.8899994</v>
      </c>
    </row>
    <row r="202" spans="1:9" x14ac:dyDescent="0.25">
      <c r="A202" s="2" t="s">
        <v>186</v>
      </c>
      <c r="B202">
        <v>2833048000</v>
      </c>
      <c r="C202">
        <v>2.2200000000000002</v>
      </c>
      <c r="D202">
        <v>144016000</v>
      </c>
      <c r="F202">
        <v>2531975000</v>
      </c>
      <c r="G202">
        <v>22904000</v>
      </c>
      <c r="H202">
        <v>301073000</v>
      </c>
      <c r="I202">
        <v>5833016002.2199993</v>
      </c>
    </row>
    <row r="203" spans="1:9" x14ac:dyDescent="0.25">
      <c r="A203" s="2" t="s">
        <v>188</v>
      </c>
      <c r="B203">
        <v>2569643000</v>
      </c>
      <c r="C203">
        <v>-2.25</v>
      </c>
      <c r="D203">
        <v>145750000</v>
      </c>
      <c r="F203">
        <v>2288664000</v>
      </c>
      <c r="G203">
        <v>-19553000</v>
      </c>
      <c r="H203">
        <v>280979000</v>
      </c>
      <c r="I203">
        <v>5265482997.75</v>
      </c>
    </row>
    <row r="204" spans="1:9" x14ac:dyDescent="0.25">
      <c r="A204" s="2" t="s">
        <v>190</v>
      </c>
      <c r="B204">
        <v>1293303000</v>
      </c>
      <c r="C204">
        <v>2.84</v>
      </c>
      <c r="D204">
        <v>65749000</v>
      </c>
      <c r="F204">
        <v>1185639000</v>
      </c>
      <c r="G204">
        <v>15842000</v>
      </c>
      <c r="H204">
        <v>107664000</v>
      </c>
      <c r="I204">
        <v>2668197002.8400002</v>
      </c>
    </row>
    <row r="205" spans="1:9" x14ac:dyDescent="0.25">
      <c r="A205" s="2" t="s">
        <v>192</v>
      </c>
      <c r="B205">
        <v>1618084000</v>
      </c>
      <c r="C205">
        <v>3.8</v>
      </c>
      <c r="D205">
        <v>78652000</v>
      </c>
      <c r="F205">
        <v>1417629000</v>
      </c>
      <c r="G205">
        <v>13673000</v>
      </c>
      <c r="H205">
        <v>200455000</v>
      </c>
      <c r="I205">
        <v>3328493003.8000002</v>
      </c>
    </row>
    <row r="206" spans="1:9" x14ac:dyDescent="0.25">
      <c r="A206" s="2" t="s">
        <v>194</v>
      </c>
      <c r="B206">
        <v>2037978000</v>
      </c>
      <c r="C206">
        <v>1.97</v>
      </c>
      <c r="D206">
        <v>99497000</v>
      </c>
      <c r="F206">
        <v>1851782000</v>
      </c>
      <c r="G206">
        <v>17703000</v>
      </c>
      <c r="H206">
        <v>186196000</v>
      </c>
      <c r="I206">
        <v>4193156001.9700003</v>
      </c>
    </row>
    <row r="207" spans="1:9" x14ac:dyDescent="0.25">
      <c r="A207" s="2" t="s">
        <v>196</v>
      </c>
      <c r="B207">
        <v>2023116000</v>
      </c>
      <c r="C207">
        <v>2.9</v>
      </c>
      <c r="D207">
        <v>87922000</v>
      </c>
      <c r="F207">
        <v>1815141000</v>
      </c>
      <c r="G207">
        <v>23913000</v>
      </c>
      <c r="H207">
        <v>207975000</v>
      </c>
      <c r="I207">
        <v>4158067002.9000001</v>
      </c>
    </row>
    <row r="208" spans="1:9" x14ac:dyDescent="0.25">
      <c r="A208" s="2" t="s">
        <v>198</v>
      </c>
      <c r="B208">
        <v>1261457000</v>
      </c>
      <c r="C208">
        <v>9.15</v>
      </c>
      <c r="D208">
        <v>47001000</v>
      </c>
      <c r="F208">
        <v>1143058000</v>
      </c>
      <c r="G208">
        <v>22888000</v>
      </c>
      <c r="H208">
        <v>118399000</v>
      </c>
      <c r="I208">
        <v>2592803009.1500001</v>
      </c>
    </row>
    <row r="209" spans="1:9" x14ac:dyDescent="0.25">
      <c r="A209" s="2" t="s">
        <v>488</v>
      </c>
      <c r="B209">
        <v>4741437000</v>
      </c>
      <c r="C209">
        <v>3.12</v>
      </c>
      <c r="D209">
        <v>429617000</v>
      </c>
      <c r="F209">
        <v>4250478000</v>
      </c>
      <c r="G209">
        <v>46993000</v>
      </c>
      <c r="H209">
        <v>490959000</v>
      </c>
      <c r="I209">
        <v>9959484003.1199989</v>
      </c>
    </row>
    <row r="210" spans="1:9" x14ac:dyDescent="0.25">
      <c r="A210" s="2" t="s">
        <v>200</v>
      </c>
      <c r="B210">
        <v>1800579000</v>
      </c>
      <c r="C210">
        <v>1.79</v>
      </c>
      <c r="D210">
        <v>71462000</v>
      </c>
      <c r="F210">
        <v>1673004000</v>
      </c>
      <c r="G210">
        <v>13697000</v>
      </c>
      <c r="H210">
        <v>127575000</v>
      </c>
      <c r="I210">
        <v>3686317001.79</v>
      </c>
    </row>
    <row r="211" spans="1:9" x14ac:dyDescent="0.25">
      <c r="A211" s="2" t="s">
        <v>490</v>
      </c>
      <c r="B211">
        <v>15134778000</v>
      </c>
      <c r="C211">
        <v>2.25</v>
      </c>
      <c r="D211">
        <v>908472000</v>
      </c>
      <c r="F211">
        <v>13880672000</v>
      </c>
      <c r="G211">
        <v>105871000</v>
      </c>
      <c r="H211">
        <v>1249868000</v>
      </c>
      <c r="I211">
        <v>31279661002.25</v>
      </c>
    </row>
    <row r="212" spans="1:9" x14ac:dyDescent="0.25">
      <c r="A212" s="2" t="s">
        <v>202</v>
      </c>
      <c r="B212">
        <v>6513420000</v>
      </c>
      <c r="C212">
        <v>-6.12</v>
      </c>
      <c r="E212">
        <v>387867000</v>
      </c>
      <c r="F212">
        <v>5947921000</v>
      </c>
      <c r="G212">
        <v>-124281000</v>
      </c>
      <c r="H212">
        <v>565499000</v>
      </c>
      <c r="I212">
        <v>13290425993.880001</v>
      </c>
    </row>
    <row r="213" spans="1:9" x14ac:dyDescent="0.25">
      <c r="A213" s="2" t="s">
        <v>492</v>
      </c>
      <c r="B213">
        <v>16766617000</v>
      </c>
      <c r="C213">
        <v>0.93</v>
      </c>
      <c r="D213">
        <v>749668000</v>
      </c>
      <c r="F213">
        <v>14876193000</v>
      </c>
      <c r="G213">
        <v>126013000</v>
      </c>
      <c r="H213">
        <v>1890424000</v>
      </c>
      <c r="I213">
        <v>34408915000.93</v>
      </c>
    </row>
    <row r="214" spans="1:9" x14ac:dyDescent="0.25">
      <c r="A214" s="2" t="s">
        <v>494</v>
      </c>
      <c r="B214">
        <v>10806594000</v>
      </c>
      <c r="C214">
        <v>1.99</v>
      </c>
      <c r="D214">
        <v>574470000</v>
      </c>
      <c r="F214">
        <v>9137940000</v>
      </c>
      <c r="G214">
        <v>102872000</v>
      </c>
      <c r="H214">
        <v>1668654000</v>
      </c>
      <c r="I214">
        <v>22290530001.989998</v>
      </c>
    </row>
    <row r="215" spans="1:9" x14ac:dyDescent="0.25">
      <c r="A215" s="2" t="s">
        <v>496</v>
      </c>
      <c r="B215">
        <v>24895868000</v>
      </c>
      <c r="C215">
        <v>6.46</v>
      </c>
      <c r="D215">
        <v>1359587000</v>
      </c>
      <c r="F215">
        <v>22780351000</v>
      </c>
      <c r="G215">
        <v>224088000</v>
      </c>
      <c r="H215">
        <v>2115517000</v>
      </c>
      <c r="I215">
        <v>51375411006.459999</v>
      </c>
    </row>
    <row r="216" spans="1:9" x14ac:dyDescent="0.25">
      <c r="A216" s="2" t="s">
        <v>498</v>
      </c>
      <c r="B216">
        <v>1111678000</v>
      </c>
      <c r="C216">
        <v>1.42</v>
      </c>
      <c r="D216">
        <v>64354000</v>
      </c>
      <c r="F216">
        <v>989781000</v>
      </c>
      <c r="G216">
        <v>16648000</v>
      </c>
      <c r="H216">
        <v>121897000</v>
      </c>
      <c r="I216">
        <v>2304358001.4200001</v>
      </c>
    </row>
    <row r="217" spans="1:9" x14ac:dyDescent="0.25">
      <c r="A217" s="2" t="s">
        <v>204</v>
      </c>
      <c r="B217">
        <v>1595721000</v>
      </c>
      <c r="C217">
        <v>5.73</v>
      </c>
      <c r="D217">
        <v>82028000</v>
      </c>
      <c r="F217">
        <v>1437950000</v>
      </c>
      <c r="G217">
        <v>13663000</v>
      </c>
      <c r="H217">
        <v>157771000</v>
      </c>
      <c r="I217">
        <v>3287133005.73</v>
      </c>
    </row>
    <row r="218" spans="1:9" x14ac:dyDescent="0.25">
      <c r="A218" s="2" t="s">
        <v>206</v>
      </c>
      <c r="B218">
        <v>3359859000</v>
      </c>
      <c r="C218">
        <v>4.49</v>
      </c>
      <c r="D218">
        <v>198327000</v>
      </c>
      <c r="F218">
        <v>3058370000</v>
      </c>
      <c r="G218">
        <v>35198000</v>
      </c>
      <c r="H218">
        <v>301489000</v>
      </c>
      <c r="I218">
        <v>6953243004.4899998</v>
      </c>
    </row>
    <row r="219" spans="1:9" x14ac:dyDescent="0.25">
      <c r="A219" s="2" t="s">
        <v>500</v>
      </c>
      <c r="B219">
        <v>9724722000</v>
      </c>
      <c r="C219">
        <v>2.42</v>
      </c>
      <c r="D219">
        <v>537963000</v>
      </c>
      <c r="F219">
        <v>8478037000</v>
      </c>
      <c r="G219">
        <v>75197000</v>
      </c>
      <c r="H219">
        <v>1246685000</v>
      </c>
      <c r="I219">
        <v>20062604002.419998</v>
      </c>
    </row>
    <row r="220" spans="1:9" x14ac:dyDescent="0.25">
      <c r="A220" s="2" t="s">
        <v>208</v>
      </c>
      <c r="B220">
        <v>22351475000</v>
      </c>
      <c r="C220">
        <v>1.27</v>
      </c>
      <c r="D220">
        <v>811764000</v>
      </c>
      <c r="F220">
        <v>19489100000</v>
      </c>
      <c r="G220">
        <v>265739000</v>
      </c>
      <c r="H220">
        <v>2862375000</v>
      </c>
      <c r="I220">
        <v>45780453001.270004</v>
      </c>
    </row>
    <row r="221" spans="1:9" x14ac:dyDescent="0.25">
      <c r="A221" s="2" t="s">
        <v>502</v>
      </c>
      <c r="B221">
        <v>6380588000</v>
      </c>
      <c r="C221">
        <v>0.94</v>
      </c>
      <c r="D221">
        <v>430467000</v>
      </c>
      <c r="F221">
        <v>5438817000</v>
      </c>
      <c r="G221">
        <v>25359000</v>
      </c>
      <c r="H221">
        <v>941771000</v>
      </c>
      <c r="I221">
        <v>13217002000.939999</v>
      </c>
    </row>
    <row r="222" spans="1:9" x14ac:dyDescent="0.25">
      <c r="A222" s="2" t="s">
        <v>210</v>
      </c>
      <c r="B222">
        <v>2057732000</v>
      </c>
      <c r="C222">
        <v>2.5099999999999998</v>
      </c>
      <c r="D222">
        <v>97054000</v>
      </c>
      <c r="F222">
        <v>1890175000</v>
      </c>
      <c r="G222">
        <v>19205000</v>
      </c>
      <c r="H222">
        <v>167557000</v>
      </c>
      <c r="I222">
        <v>4231723002.5100002</v>
      </c>
    </row>
    <row r="223" spans="1:9" x14ac:dyDescent="0.25">
      <c r="A223" s="2" t="s">
        <v>214</v>
      </c>
      <c r="B223">
        <v>2791540000</v>
      </c>
      <c r="C223">
        <v>1.34</v>
      </c>
      <c r="D223">
        <v>145487000</v>
      </c>
      <c r="F223">
        <v>2574357000</v>
      </c>
      <c r="G223">
        <v>26100000</v>
      </c>
      <c r="H223">
        <v>217183000</v>
      </c>
      <c r="I223">
        <v>5754667001.3400002</v>
      </c>
    </row>
    <row r="224" spans="1:9" x14ac:dyDescent="0.25">
      <c r="A224" s="2" t="s">
        <v>216</v>
      </c>
      <c r="B224">
        <v>1547693000</v>
      </c>
      <c r="C224">
        <v>0.97</v>
      </c>
      <c r="D224">
        <v>75939000</v>
      </c>
      <c r="F224">
        <v>1390156000</v>
      </c>
      <c r="G224">
        <v>4903000</v>
      </c>
      <c r="H224">
        <v>157537000</v>
      </c>
      <c r="I224">
        <v>3176228000.9700003</v>
      </c>
    </row>
    <row r="225" spans="1:9" x14ac:dyDescent="0.25">
      <c r="A225" s="2" t="s">
        <v>504</v>
      </c>
      <c r="B225">
        <v>8214740000</v>
      </c>
      <c r="C225">
        <v>2.81</v>
      </c>
      <c r="D225">
        <v>465011000</v>
      </c>
      <c r="F225">
        <v>7317857000</v>
      </c>
      <c r="G225">
        <v>87861000</v>
      </c>
      <c r="H225">
        <v>896883000</v>
      </c>
      <c r="I225">
        <v>16982352002.810001</v>
      </c>
    </row>
    <row r="226" spans="1:9" x14ac:dyDescent="0.25">
      <c r="A226" s="2" t="s">
        <v>506</v>
      </c>
      <c r="B226">
        <v>4424900000000</v>
      </c>
      <c r="C226">
        <v>20.05</v>
      </c>
      <c r="E226">
        <v>193341000000</v>
      </c>
      <c r="F226">
        <v>4062462000000</v>
      </c>
      <c r="G226">
        <v>57048000000</v>
      </c>
      <c r="H226">
        <v>362438000000</v>
      </c>
      <c r="I226">
        <v>9100189000020.0508</v>
      </c>
    </row>
    <row r="227" spans="1:9" x14ac:dyDescent="0.25">
      <c r="A227" s="2" t="s">
        <v>508</v>
      </c>
      <c r="B227">
        <v>92774000000</v>
      </c>
      <c r="C227">
        <v>8.7899999999999991</v>
      </c>
      <c r="D227">
        <v>4692900000</v>
      </c>
      <c r="F227">
        <v>84828000000</v>
      </c>
      <c r="G227">
        <v>969000000</v>
      </c>
      <c r="H227">
        <v>7653000000</v>
      </c>
      <c r="I227">
        <v>190916900008.78998</v>
      </c>
    </row>
    <row r="228" spans="1:9" x14ac:dyDescent="0.25">
      <c r="A228" s="2" t="s">
        <v>510</v>
      </c>
      <c r="B228">
        <v>184381000000</v>
      </c>
      <c r="C228">
        <v>1.53</v>
      </c>
      <c r="D228">
        <v>8386000000</v>
      </c>
      <c r="E228">
        <v>624000000</v>
      </c>
      <c r="F228">
        <v>164000000000</v>
      </c>
      <c r="G228">
        <v>1829000000</v>
      </c>
      <c r="H228">
        <v>20381000000</v>
      </c>
      <c r="I228">
        <v>379601000001.53003</v>
      </c>
    </row>
    <row r="229" spans="1:9" x14ac:dyDescent="0.25">
      <c r="A229" s="2" t="s">
        <v>512</v>
      </c>
      <c r="B229">
        <v>24540877000</v>
      </c>
      <c r="C229">
        <v>-2.96</v>
      </c>
      <c r="D229">
        <v>1243814000</v>
      </c>
      <c r="F229">
        <v>21121637000</v>
      </c>
      <c r="G229">
        <v>-397553000</v>
      </c>
      <c r="H229">
        <v>3419240000</v>
      </c>
      <c r="I229">
        <v>49928014997.040001</v>
      </c>
    </row>
    <row r="230" spans="1:9" x14ac:dyDescent="0.25">
      <c r="A230" s="2" t="s">
        <v>514</v>
      </c>
      <c r="B230">
        <v>4754861000</v>
      </c>
      <c r="C230">
        <v>2.9</v>
      </c>
      <c r="D230">
        <v>248933000</v>
      </c>
      <c r="F230">
        <v>4309029000</v>
      </c>
      <c r="G230">
        <v>61606000</v>
      </c>
      <c r="H230">
        <v>445832000</v>
      </c>
      <c r="I230">
        <v>9820261002.8999996</v>
      </c>
    </row>
    <row r="231" spans="1:9" x14ac:dyDescent="0.25">
      <c r="A231" s="2" t="s">
        <v>516</v>
      </c>
      <c r="B231">
        <v>20842331000</v>
      </c>
      <c r="C231">
        <v>1.59</v>
      </c>
      <c r="D231">
        <v>836374000</v>
      </c>
      <c r="F231">
        <v>17786544000</v>
      </c>
      <c r="G231">
        <v>144878000</v>
      </c>
      <c r="H231">
        <v>2712662000</v>
      </c>
      <c r="I231">
        <v>42322789001.589996</v>
      </c>
    </row>
    <row r="232" spans="1:9" x14ac:dyDescent="0.25">
      <c r="A232" s="2" t="s">
        <v>518</v>
      </c>
      <c r="B232">
        <v>3154981000</v>
      </c>
      <c r="C232">
        <v>1.36</v>
      </c>
      <c r="D232">
        <v>159787000</v>
      </c>
      <c r="F232">
        <v>2889421000</v>
      </c>
      <c r="G232">
        <v>13188000</v>
      </c>
      <c r="H232">
        <v>265560000</v>
      </c>
      <c r="I232">
        <v>6482937001.3600006</v>
      </c>
    </row>
    <row r="233" spans="1:9" x14ac:dyDescent="0.25">
      <c r="A233" s="2" t="s">
        <v>520</v>
      </c>
      <c r="B233">
        <v>34797442000</v>
      </c>
      <c r="C233">
        <v>1.18</v>
      </c>
      <c r="D233">
        <v>1676653000</v>
      </c>
      <c r="F233">
        <v>31256165000</v>
      </c>
      <c r="G233">
        <v>228973000</v>
      </c>
      <c r="H233">
        <v>3541277000</v>
      </c>
      <c r="I233">
        <v>71500510001.179993</v>
      </c>
    </row>
    <row r="234" spans="1:9" x14ac:dyDescent="0.25">
      <c r="A234" s="2" t="s">
        <v>218</v>
      </c>
      <c r="B234">
        <v>5764697000</v>
      </c>
      <c r="C234">
        <v>0.78</v>
      </c>
      <c r="D234">
        <v>256999000</v>
      </c>
      <c r="F234">
        <v>5056131000</v>
      </c>
      <c r="G234">
        <v>47830000</v>
      </c>
      <c r="H234">
        <v>708566000</v>
      </c>
      <c r="I234">
        <v>11834223000.779999</v>
      </c>
    </row>
    <row r="235" spans="1:9" x14ac:dyDescent="0.25">
      <c r="A235" s="2" t="s">
        <v>220</v>
      </c>
      <c r="G235">
        <v>60512000</v>
      </c>
      <c r="I235">
        <v>60512000</v>
      </c>
    </row>
    <row r="236" spans="1:9" x14ac:dyDescent="0.25">
      <c r="A236" s="2" t="s">
        <v>222</v>
      </c>
      <c r="B236">
        <v>3690317000</v>
      </c>
      <c r="C236">
        <v>2.0099999999999998</v>
      </c>
      <c r="D236">
        <v>185710000</v>
      </c>
      <c r="F236">
        <v>3280729000</v>
      </c>
      <c r="G236">
        <v>38168000</v>
      </c>
      <c r="H236">
        <v>409588000</v>
      </c>
      <c r="I236">
        <v>7604512002.0100002</v>
      </c>
    </row>
    <row r="237" spans="1:9" x14ac:dyDescent="0.25">
      <c r="A237" s="2" t="s">
        <v>224</v>
      </c>
      <c r="B237">
        <v>3228126000</v>
      </c>
      <c r="C237">
        <v>3.61</v>
      </c>
      <c r="D237">
        <v>163212000</v>
      </c>
      <c r="F237">
        <v>2808152000</v>
      </c>
      <c r="G237">
        <v>37051000</v>
      </c>
      <c r="H237">
        <v>419974000</v>
      </c>
      <c r="I237">
        <v>6656515003.6100006</v>
      </c>
    </row>
    <row r="238" spans="1:9" x14ac:dyDescent="0.25">
      <c r="A238" s="2" t="s">
        <v>226</v>
      </c>
      <c r="B238">
        <v>5542255000</v>
      </c>
      <c r="C238">
        <v>4.21</v>
      </c>
      <c r="D238">
        <v>303734000</v>
      </c>
      <c r="F238">
        <v>4950720000</v>
      </c>
      <c r="G238">
        <v>80855000</v>
      </c>
      <c r="H238">
        <v>591535000</v>
      </c>
      <c r="I238">
        <v>11469099004.209999</v>
      </c>
    </row>
    <row r="239" spans="1:9" x14ac:dyDescent="0.25">
      <c r="A239" s="2" t="s">
        <v>228</v>
      </c>
      <c r="B239">
        <v>2710235000</v>
      </c>
      <c r="C239">
        <v>3.14</v>
      </c>
      <c r="D239">
        <v>132835000</v>
      </c>
      <c r="F239">
        <v>2455526000</v>
      </c>
      <c r="G239">
        <v>15104000</v>
      </c>
      <c r="H239">
        <v>254709000</v>
      </c>
      <c r="I239">
        <v>5568409003.1399994</v>
      </c>
    </row>
    <row r="240" spans="1:9" x14ac:dyDescent="0.25">
      <c r="A240" s="2" t="s">
        <v>230</v>
      </c>
      <c r="B240">
        <v>1750399000</v>
      </c>
      <c r="C240">
        <v>3.08</v>
      </c>
      <c r="D240">
        <v>55843000</v>
      </c>
      <c r="F240">
        <v>1581180000</v>
      </c>
      <c r="G240">
        <v>20237000</v>
      </c>
      <c r="H240">
        <v>169219000</v>
      </c>
      <c r="I240">
        <v>3576878003.0799999</v>
      </c>
    </row>
    <row r="241" spans="1:9" x14ac:dyDescent="0.25">
      <c r="A241" s="2" t="s">
        <v>232</v>
      </c>
      <c r="B241">
        <v>1525790540</v>
      </c>
      <c r="C241">
        <v>1.2</v>
      </c>
      <c r="D241">
        <v>85907554</v>
      </c>
      <c r="F241">
        <v>1380009440</v>
      </c>
      <c r="G241">
        <v>11576767</v>
      </c>
      <c r="H241">
        <v>145781100</v>
      </c>
      <c r="I241">
        <v>3149065402.1999998</v>
      </c>
    </row>
    <row r="242" spans="1:9" x14ac:dyDescent="0.25">
      <c r="A242" s="2" t="s">
        <v>234</v>
      </c>
      <c r="B242">
        <v>20751978000</v>
      </c>
      <c r="C242">
        <v>1.75</v>
      </c>
      <c r="D242">
        <v>989948000</v>
      </c>
      <c r="F242">
        <v>16968001000</v>
      </c>
      <c r="G242">
        <v>390853000</v>
      </c>
      <c r="H242">
        <v>3783977000</v>
      </c>
      <c r="I242">
        <v>42884757001.75</v>
      </c>
    </row>
    <row r="243" spans="1:9" x14ac:dyDescent="0.25">
      <c r="A243" s="2" t="s">
        <v>266</v>
      </c>
      <c r="B243">
        <v>1087840000</v>
      </c>
      <c r="C243">
        <v>-0.17</v>
      </c>
      <c r="D243">
        <v>47843000</v>
      </c>
      <c r="E243">
        <v>2934000</v>
      </c>
      <c r="F243">
        <v>993160000</v>
      </c>
      <c r="G243">
        <v>-12710000</v>
      </c>
      <c r="H243">
        <v>94680000</v>
      </c>
      <c r="I243">
        <v>2213746999.8299999</v>
      </c>
    </row>
    <row r="244" spans="1:9" x14ac:dyDescent="0.25">
      <c r="A244" s="2" t="s">
        <v>236</v>
      </c>
      <c r="B244">
        <v>1300258000</v>
      </c>
      <c r="C244">
        <v>-5.93</v>
      </c>
      <c r="E244">
        <v>85794000</v>
      </c>
      <c r="F244">
        <v>1212689000</v>
      </c>
      <c r="G244">
        <v>-22937000</v>
      </c>
      <c r="H244">
        <v>87569000</v>
      </c>
      <c r="I244">
        <v>2663372994.0699997</v>
      </c>
    </row>
    <row r="245" spans="1:9" x14ac:dyDescent="0.25">
      <c r="A245" s="2" t="s">
        <v>522</v>
      </c>
      <c r="B245">
        <v>16300292000</v>
      </c>
      <c r="C245">
        <v>2.4700000000000002</v>
      </c>
      <c r="D245">
        <v>833926000</v>
      </c>
      <c r="F245">
        <v>14352034000</v>
      </c>
      <c r="G245">
        <v>122622000</v>
      </c>
      <c r="H245">
        <v>1948165000</v>
      </c>
      <c r="I245">
        <v>33557039002.470001</v>
      </c>
    </row>
    <row r="246" spans="1:9" x14ac:dyDescent="0.25">
      <c r="A246" s="2" t="s">
        <v>238</v>
      </c>
      <c r="B246">
        <v>1702148000</v>
      </c>
      <c r="C246">
        <v>3.74</v>
      </c>
      <c r="D246">
        <v>83618000</v>
      </c>
      <c r="F246">
        <v>1545030000</v>
      </c>
      <c r="G246">
        <v>19830000</v>
      </c>
      <c r="H246">
        <v>157118000</v>
      </c>
      <c r="I246">
        <v>3507744003.7399998</v>
      </c>
    </row>
    <row r="247" spans="1:9" x14ac:dyDescent="0.25">
      <c r="A247" s="2" t="s">
        <v>240</v>
      </c>
      <c r="B247">
        <v>1287558946</v>
      </c>
      <c r="D247">
        <v>60879859</v>
      </c>
      <c r="F247">
        <v>1173871968</v>
      </c>
      <c r="G247">
        <v>16967981</v>
      </c>
      <c r="H247">
        <v>113686978</v>
      </c>
      <c r="I247">
        <v>2652965732</v>
      </c>
    </row>
    <row r="248" spans="1:9" x14ac:dyDescent="0.25">
      <c r="A248" s="2" t="s">
        <v>242</v>
      </c>
      <c r="B248">
        <v>1373757000</v>
      </c>
      <c r="D248">
        <v>67750000</v>
      </c>
      <c r="F248">
        <v>1268969000</v>
      </c>
      <c r="G248">
        <v>11229000</v>
      </c>
      <c r="H248">
        <v>104788000</v>
      </c>
      <c r="I248">
        <v>2826493000</v>
      </c>
    </row>
    <row r="249" spans="1:9" x14ac:dyDescent="0.25">
      <c r="A249" s="2" t="s">
        <v>244</v>
      </c>
      <c r="B249">
        <v>2292256000</v>
      </c>
      <c r="C249">
        <v>1.22</v>
      </c>
      <c r="D249">
        <v>118397000</v>
      </c>
      <c r="F249">
        <v>2038656000</v>
      </c>
      <c r="G249">
        <v>22057000</v>
      </c>
      <c r="H249">
        <v>253600000</v>
      </c>
      <c r="I249">
        <v>4724966001.2199993</v>
      </c>
    </row>
    <row r="250" spans="1:9" x14ac:dyDescent="0.25">
      <c r="A250" s="2" t="s">
        <v>246</v>
      </c>
      <c r="B250">
        <v>8485162000</v>
      </c>
      <c r="C250">
        <v>3.52</v>
      </c>
      <c r="D250">
        <v>467769000</v>
      </c>
      <c r="F250">
        <v>7331806000</v>
      </c>
      <c r="G250">
        <v>97936000</v>
      </c>
      <c r="H250">
        <v>1153356000</v>
      </c>
      <c r="I250">
        <v>17536029003.52</v>
      </c>
    </row>
    <row r="251" spans="1:9" x14ac:dyDescent="0.25">
      <c r="A251" s="2" t="s">
        <v>248</v>
      </c>
      <c r="B251">
        <v>2650226000</v>
      </c>
      <c r="C251">
        <v>1.72</v>
      </c>
      <c r="D251">
        <v>150328000</v>
      </c>
      <c r="F251">
        <v>2422333000</v>
      </c>
      <c r="G251">
        <v>25635000</v>
      </c>
      <c r="H251">
        <v>227893000</v>
      </c>
      <c r="I251">
        <v>5476415001.7199993</v>
      </c>
    </row>
    <row r="252" spans="1:9" x14ac:dyDescent="0.25">
      <c r="A252" s="2" t="s">
        <v>250</v>
      </c>
      <c r="B252">
        <v>2593677000</v>
      </c>
      <c r="C252">
        <v>2.1800000000000002</v>
      </c>
      <c r="D252">
        <v>135389000</v>
      </c>
      <c r="F252">
        <v>2255123000</v>
      </c>
      <c r="G252">
        <v>23931000</v>
      </c>
      <c r="H252">
        <v>338554000</v>
      </c>
      <c r="I252">
        <v>5346674002.1800003</v>
      </c>
    </row>
    <row r="253" spans="1:9" x14ac:dyDescent="0.25">
      <c r="A253" s="2" t="s">
        <v>524</v>
      </c>
      <c r="B253">
        <v>9777018000</v>
      </c>
      <c r="C253">
        <v>1.26</v>
      </c>
      <c r="D253">
        <v>597428000</v>
      </c>
      <c r="F253">
        <v>8838216000</v>
      </c>
      <c r="G253">
        <v>52417000</v>
      </c>
      <c r="H253">
        <v>938802000</v>
      </c>
      <c r="I253">
        <v>20203881001.260002</v>
      </c>
    </row>
    <row r="254" spans="1:9" x14ac:dyDescent="0.25">
      <c r="A254" s="2" t="s">
        <v>252</v>
      </c>
      <c r="B254">
        <v>4768400000</v>
      </c>
      <c r="C254">
        <v>2.66</v>
      </c>
      <c r="E254">
        <v>220828000</v>
      </c>
      <c r="F254">
        <v>4224216000</v>
      </c>
      <c r="G254">
        <v>68532000</v>
      </c>
      <c r="H254">
        <v>544184000</v>
      </c>
      <c r="I254">
        <v>9826160002.6599998</v>
      </c>
    </row>
    <row r="255" spans="1:9" x14ac:dyDescent="0.25">
      <c r="A255" s="2" t="s">
        <v>254</v>
      </c>
      <c r="B255">
        <v>2561995000</v>
      </c>
      <c r="C255">
        <v>1.93</v>
      </c>
      <c r="D255">
        <v>166314000</v>
      </c>
      <c r="F255">
        <v>2362279000</v>
      </c>
      <c r="G255">
        <v>21836000</v>
      </c>
      <c r="H255">
        <v>199716000</v>
      </c>
      <c r="I255">
        <v>5312140001.9300003</v>
      </c>
    </row>
    <row r="256" spans="1:9" x14ac:dyDescent="0.25">
      <c r="A256" s="2" t="s">
        <v>256</v>
      </c>
      <c r="B256">
        <v>4033386000</v>
      </c>
      <c r="C256">
        <v>1.95</v>
      </c>
      <c r="D256">
        <v>225980000</v>
      </c>
      <c r="F256">
        <v>3456800000</v>
      </c>
      <c r="G256">
        <v>63058000</v>
      </c>
      <c r="H256">
        <v>576586000</v>
      </c>
      <c r="I256">
        <v>8355810001.9499998</v>
      </c>
    </row>
    <row r="257" spans="1:9" x14ac:dyDescent="0.25">
      <c r="A257" s="2" t="s">
        <v>258</v>
      </c>
      <c r="B257">
        <v>8869836000</v>
      </c>
      <c r="C257">
        <v>3.44</v>
      </c>
      <c r="D257">
        <v>422229000</v>
      </c>
      <c r="F257">
        <v>8075372000</v>
      </c>
      <c r="G257">
        <v>104447000</v>
      </c>
      <c r="I257">
        <v>17471884003.440002</v>
      </c>
    </row>
    <row r="258" spans="1:9" x14ac:dyDescent="0.25">
      <c r="A258" s="2" t="s">
        <v>260</v>
      </c>
      <c r="B258">
        <v>4851922000</v>
      </c>
      <c r="C258">
        <v>1.38</v>
      </c>
      <c r="D258">
        <v>232222000</v>
      </c>
      <c r="F258">
        <v>4432225000</v>
      </c>
      <c r="G258">
        <v>31362000</v>
      </c>
      <c r="H258">
        <v>419697000</v>
      </c>
      <c r="I258">
        <v>9967428001.3800011</v>
      </c>
    </row>
    <row r="259" spans="1:9" x14ac:dyDescent="0.25">
      <c r="A259" s="2" t="s">
        <v>262</v>
      </c>
      <c r="B259">
        <v>977135000</v>
      </c>
      <c r="C259">
        <v>1.2</v>
      </c>
      <c r="D259">
        <v>92478000</v>
      </c>
      <c r="F259">
        <v>783940000</v>
      </c>
      <c r="G259">
        <v>16091000</v>
      </c>
      <c r="H259">
        <v>193195000</v>
      </c>
      <c r="I259">
        <v>2062839001.2</v>
      </c>
    </row>
    <row r="260" spans="1:9" x14ac:dyDescent="0.25">
      <c r="A260" s="2" t="s">
        <v>268</v>
      </c>
      <c r="B260">
        <v>909700000</v>
      </c>
      <c r="C260">
        <v>0.43</v>
      </c>
      <c r="D260">
        <v>48587000</v>
      </c>
      <c r="F260">
        <v>826845000</v>
      </c>
      <c r="G260">
        <v>10098000</v>
      </c>
      <c r="H260">
        <v>82855000</v>
      </c>
      <c r="I260">
        <v>1878085000.4299998</v>
      </c>
    </row>
    <row r="261" spans="1:9" x14ac:dyDescent="0.25">
      <c r="A261" s="2" t="s">
        <v>526</v>
      </c>
      <c r="B261">
        <v>7920626000</v>
      </c>
      <c r="C261">
        <v>7.76</v>
      </c>
      <c r="E261">
        <v>444993000</v>
      </c>
      <c r="F261">
        <v>7065977000</v>
      </c>
      <c r="G261">
        <v>117306000</v>
      </c>
      <c r="H261">
        <v>854649000</v>
      </c>
      <c r="I261">
        <v>16403551007.76</v>
      </c>
    </row>
    <row r="262" spans="1:9" x14ac:dyDescent="0.25">
      <c r="A262" s="2" t="s">
        <v>264</v>
      </c>
      <c r="B262">
        <v>57706053000</v>
      </c>
      <c r="C262">
        <v>8.15</v>
      </c>
      <c r="D262">
        <v>2795632000</v>
      </c>
      <c r="F262">
        <v>50662338000</v>
      </c>
      <c r="G262">
        <v>641865000</v>
      </c>
      <c r="H262">
        <v>7043715000</v>
      </c>
      <c r="I262">
        <v>118849603008.14999</v>
      </c>
    </row>
    <row r="263" spans="1:9" x14ac:dyDescent="0.25">
      <c r="A263" s="2" t="s">
        <v>548</v>
      </c>
      <c r="B263">
        <v>21171198608467</v>
      </c>
      <c r="C263">
        <v>1174.7500000000011</v>
      </c>
      <c r="D263">
        <v>783639560501</v>
      </c>
      <c r="E263">
        <v>201562761000</v>
      </c>
      <c r="F263">
        <v>19155491684557</v>
      </c>
      <c r="G263">
        <v>194966726946</v>
      </c>
      <c r="H263">
        <v>2002934648910</v>
      </c>
      <c r="I263">
        <v>43509793991555.742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8B33-F414-4E8F-96E4-0ED49E0A0E0E}">
  <dimension ref="A1:I1520"/>
  <sheetViews>
    <sheetView workbookViewId="0"/>
  </sheetViews>
  <sheetFormatPr defaultRowHeight="15" x14ac:dyDescent="0.25"/>
  <cols>
    <col min="1" max="1" width="20.7109375" bestFit="1" customWidth="1"/>
    <col min="2" max="2" width="35.85546875" bestFit="1" customWidth="1"/>
    <col min="3" max="3" width="12.7109375" bestFit="1" customWidth="1"/>
    <col min="4" max="4" width="9" bestFit="1" customWidth="1"/>
    <col min="5" max="5" width="6.7109375" bestFit="1" customWidth="1"/>
    <col min="6" max="6" width="7.28515625" bestFit="1" customWidth="1"/>
    <col min="7" max="7" width="11.85546875" bestFit="1" customWidth="1"/>
    <col min="8" max="8" width="8.140625" bestFit="1" customWidth="1"/>
    <col min="9" max="9" width="12" bestFit="1" customWidth="1"/>
  </cols>
  <sheetData>
    <row r="1" spans="1:9" x14ac:dyDescent="0.25">
      <c r="A1" t="s">
        <v>0</v>
      </c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</row>
    <row r="2" spans="1:9" x14ac:dyDescent="0.25">
      <c r="A2" t="s">
        <v>270</v>
      </c>
      <c r="B2" t="s">
        <v>536</v>
      </c>
      <c r="C2" t="s">
        <v>537</v>
      </c>
      <c r="D2">
        <v>20251231</v>
      </c>
      <c r="E2">
        <v>0</v>
      </c>
      <c r="F2" t="s">
        <v>538</v>
      </c>
      <c r="G2" t="s">
        <v>539</v>
      </c>
      <c r="H2" t="s">
        <v>539</v>
      </c>
      <c r="I2">
        <v>40227249000</v>
      </c>
    </row>
    <row r="3" spans="1:9" x14ac:dyDescent="0.25">
      <c r="A3" t="s">
        <v>270</v>
      </c>
      <c r="B3" t="s">
        <v>540</v>
      </c>
      <c r="C3" t="s">
        <v>537</v>
      </c>
      <c r="D3">
        <v>20251231</v>
      </c>
      <c r="E3">
        <v>0</v>
      </c>
      <c r="F3" t="s">
        <v>538</v>
      </c>
      <c r="G3" t="s">
        <v>539</v>
      </c>
      <c r="H3" t="s">
        <v>539</v>
      </c>
      <c r="I3">
        <v>45202596000</v>
      </c>
    </row>
    <row r="4" spans="1:9" x14ac:dyDescent="0.25">
      <c r="A4" t="s">
        <v>270</v>
      </c>
      <c r="B4" t="s">
        <v>541</v>
      </c>
      <c r="C4" t="s">
        <v>537</v>
      </c>
      <c r="D4">
        <v>20251231</v>
      </c>
      <c r="E4">
        <v>4</v>
      </c>
      <c r="F4" t="s">
        <v>538</v>
      </c>
      <c r="G4" t="s">
        <v>539</v>
      </c>
      <c r="H4" t="s">
        <v>539</v>
      </c>
      <c r="I4">
        <v>2172756000</v>
      </c>
    </row>
    <row r="5" spans="1:9" x14ac:dyDescent="0.25">
      <c r="A5" t="s">
        <v>270</v>
      </c>
      <c r="B5" t="s">
        <v>542</v>
      </c>
      <c r="C5" t="s">
        <v>537</v>
      </c>
      <c r="D5">
        <v>20251231</v>
      </c>
      <c r="E5">
        <v>4</v>
      </c>
      <c r="F5" t="s">
        <v>538</v>
      </c>
      <c r="G5" t="s">
        <v>539</v>
      </c>
      <c r="H5" t="s">
        <v>539</v>
      </c>
      <c r="I5">
        <v>2.79</v>
      </c>
    </row>
    <row r="6" spans="1:9" x14ac:dyDescent="0.25">
      <c r="A6" t="s">
        <v>272</v>
      </c>
      <c r="B6" t="s">
        <v>543</v>
      </c>
      <c r="C6" t="s">
        <v>537</v>
      </c>
      <c r="D6">
        <v>20251231</v>
      </c>
      <c r="E6">
        <v>4</v>
      </c>
      <c r="F6" t="s">
        <v>538</v>
      </c>
      <c r="G6" t="s">
        <v>539</v>
      </c>
      <c r="H6" t="s">
        <v>539</v>
      </c>
      <c r="I6">
        <v>566251000</v>
      </c>
    </row>
    <row r="7" spans="1:9" x14ac:dyDescent="0.25">
      <c r="A7" t="s">
        <v>272</v>
      </c>
      <c r="B7" t="s">
        <v>540</v>
      </c>
      <c r="C7" t="s">
        <v>537</v>
      </c>
      <c r="D7">
        <v>20251231</v>
      </c>
      <c r="E7">
        <v>0</v>
      </c>
      <c r="F7" t="s">
        <v>538</v>
      </c>
      <c r="G7" t="s">
        <v>539</v>
      </c>
      <c r="H7" t="s">
        <v>539</v>
      </c>
      <c r="I7">
        <v>32915089000</v>
      </c>
    </row>
    <row r="8" spans="1:9" x14ac:dyDescent="0.25">
      <c r="A8" t="s">
        <v>272</v>
      </c>
      <c r="B8" t="s">
        <v>541</v>
      </c>
      <c r="C8" t="s">
        <v>537</v>
      </c>
      <c r="D8">
        <v>20251231</v>
      </c>
      <c r="E8">
        <v>4</v>
      </c>
      <c r="F8" t="s">
        <v>538</v>
      </c>
      <c r="G8" t="s">
        <v>539</v>
      </c>
      <c r="H8" t="s">
        <v>539</v>
      </c>
      <c r="I8">
        <v>1483723000</v>
      </c>
    </row>
    <row r="9" spans="1:9" x14ac:dyDescent="0.25">
      <c r="A9" t="s">
        <v>272</v>
      </c>
      <c r="B9" t="s">
        <v>542</v>
      </c>
      <c r="C9" t="s">
        <v>537</v>
      </c>
      <c r="D9">
        <v>20251231</v>
      </c>
      <c r="E9">
        <v>4</v>
      </c>
      <c r="F9" t="s">
        <v>538</v>
      </c>
      <c r="G9" t="s">
        <v>539</v>
      </c>
      <c r="H9" t="s">
        <v>539</v>
      </c>
      <c r="I9">
        <v>4.04</v>
      </c>
    </row>
    <row r="10" spans="1:9" x14ac:dyDescent="0.25">
      <c r="A10" t="s">
        <v>274</v>
      </c>
      <c r="B10" t="s">
        <v>542</v>
      </c>
      <c r="C10" t="s">
        <v>537</v>
      </c>
      <c r="D10">
        <v>20251231</v>
      </c>
      <c r="E10">
        <v>4</v>
      </c>
      <c r="F10" t="s">
        <v>538</v>
      </c>
      <c r="G10" t="s">
        <v>539</v>
      </c>
      <c r="H10" t="s">
        <v>539</v>
      </c>
      <c r="I10">
        <v>6.41</v>
      </c>
    </row>
    <row r="11" spans="1:9" x14ac:dyDescent="0.25">
      <c r="A11" t="s">
        <v>274</v>
      </c>
      <c r="B11" t="s">
        <v>544</v>
      </c>
      <c r="C11" t="s">
        <v>537</v>
      </c>
      <c r="D11">
        <v>20251231</v>
      </c>
      <c r="E11">
        <v>0</v>
      </c>
      <c r="F11" t="s">
        <v>538</v>
      </c>
      <c r="G11" t="s">
        <v>539</v>
      </c>
      <c r="H11" t="s">
        <v>539</v>
      </c>
      <c r="I11">
        <v>1274971000</v>
      </c>
    </row>
    <row r="12" spans="1:9" x14ac:dyDescent="0.25">
      <c r="A12" t="s">
        <v>276</v>
      </c>
      <c r="B12" t="s">
        <v>541</v>
      </c>
      <c r="C12" t="s">
        <v>537</v>
      </c>
      <c r="D12">
        <v>20251231</v>
      </c>
      <c r="E12">
        <v>4</v>
      </c>
      <c r="F12" t="s">
        <v>538</v>
      </c>
      <c r="G12" t="s">
        <v>539</v>
      </c>
      <c r="H12" t="s">
        <v>539</v>
      </c>
      <c r="I12">
        <v>9903000000</v>
      </c>
    </row>
    <row r="13" spans="1:9" x14ac:dyDescent="0.25">
      <c r="A13" t="s">
        <v>278</v>
      </c>
      <c r="B13" t="s">
        <v>542</v>
      </c>
      <c r="C13" t="s">
        <v>537</v>
      </c>
      <c r="D13">
        <v>20251231</v>
      </c>
      <c r="E13">
        <v>4</v>
      </c>
      <c r="F13" t="s">
        <v>538</v>
      </c>
      <c r="G13" t="s">
        <v>539</v>
      </c>
      <c r="H13" t="s">
        <v>539</v>
      </c>
      <c r="I13">
        <v>4.62</v>
      </c>
    </row>
    <row r="14" spans="1:9" x14ac:dyDescent="0.25">
      <c r="A14" t="s">
        <v>280</v>
      </c>
      <c r="B14" t="s">
        <v>541</v>
      </c>
      <c r="C14" t="s">
        <v>537</v>
      </c>
      <c r="D14">
        <v>20251231</v>
      </c>
      <c r="E14">
        <v>4</v>
      </c>
      <c r="F14" t="s">
        <v>538</v>
      </c>
      <c r="G14" t="s">
        <v>539</v>
      </c>
      <c r="H14" t="s">
        <v>539</v>
      </c>
      <c r="I14">
        <v>10486000000</v>
      </c>
    </row>
    <row r="15" spans="1:9" x14ac:dyDescent="0.25">
      <c r="A15" t="s">
        <v>276</v>
      </c>
      <c r="B15" t="s">
        <v>536</v>
      </c>
      <c r="C15" t="s">
        <v>537</v>
      </c>
      <c r="D15">
        <v>20251231</v>
      </c>
      <c r="E15">
        <v>0</v>
      </c>
      <c r="F15" t="s">
        <v>538</v>
      </c>
      <c r="G15" t="s">
        <v>539</v>
      </c>
      <c r="H15" t="s">
        <v>539</v>
      </c>
      <c r="I15">
        <v>192652000000</v>
      </c>
    </row>
    <row r="16" spans="1:9" x14ac:dyDescent="0.25">
      <c r="A16" t="s">
        <v>278</v>
      </c>
      <c r="B16" t="s">
        <v>540</v>
      </c>
      <c r="C16" t="s">
        <v>537</v>
      </c>
      <c r="D16">
        <v>20251231</v>
      </c>
      <c r="E16">
        <v>0</v>
      </c>
      <c r="F16" t="s">
        <v>538</v>
      </c>
      <c r="G16" t="s">
        <v>539</v>
      </c>
      <c r="H16" t="s">
        <v>539</v>
      </c>
      <c r="I16">
        <v>692345000000</v>
      </c>
    </row>
    <row r="17" spans="1:9" x14ac:dyDescent="0.25">
      <c r="A17" t="s">
        <v>280</v>
      </c>
      <c r="B17" t="s">
        <v>542</v>
      </c>
      <c r="C17" t="s">
        <v>537</v>
      </c>
      <c r="D17">
        <v>20251231</v>
      </c>
      <c r="E17">
        <v>4</v>
      </c>
      <c r="F17" t="s">
        <v>538</v>
      </c>
      <c r="G17" t="s">
        <v>539</v>
      </c>
      <c r="H17" t="s">
        <v>539</v>
      </c>
      <c r="I17">
        <v>17.100000000000001</v>
      </c>
    </row>
    <row r="18" spans="1:9" x14ac:dyDescent="0.25">
      <c r="A18" t="s">
        <v>282</v>
      </c>
      <c r="B18" t="s">
        <v>536</v>
      </c>
      <c r="C18" t="s">
        <v>537</v>
      </c>
      <c r="D18">
        <v>20251231</v>
      </c>
      <c r="E18">
        <v>0</v>
      </c>
      <c r="F18" t="s">
        <v>538</v>
      </c>
      <c r="G18" t="s">
        <v>539</v>
      </c>
      <c r="H18" t="s">
        <v>539</v>
      </c>
      <c r="I18">
        <v>74734000000</v>
      </c>
    </row>
    <row r="19" spans="1:9" x14ac:dyDescent="0.25">
      <c r="A19" t="s">
        <v>282</v>
      </c>
      <c r="B19" t="s">
        <v>540</v>
      </c>
      <c r="C19" t="s">
        <v>537</v>
      </c>
      <c r="D19">
        <v>20251231</v>
      </c>
      <c r="E19">
        <v>0</v>
      </c>
      <c r="F19" t="s">
        <v>538</v>
      </c>
      <c r="G19" t="s">
        <v>539</v>
      </c>
      <c r="H19" t="s">
        <v>539</v>
      </c>
      <c r="I19">
        <v>83876000000</v>
      </c>
    </row>
    <row r="20" spans="1:9" x14ac:dyDescent="0.25">
      <c r="A20" t="s">
        <v>284</v>
      </c>
      <c r="B20" t="s">
        <v>536</v>
      </c>
      <c r="C20" t="s">
        <v>537</v>
      </c>
      <c r="D20">
        <v>20251231</v>
      </c>
      <c r="E20">
        <v>0</v>
      </c>
      <c r="F20" t="s">
        <v>538</v>
      </c>
      <c r="G20" t="s">
        <v>539</v>
      </c>
      <c r="H20" t="s">
        <v>539</v>
      </c>
      <c r="I20">
        <v>43470000000</v>
      </c>
    </row>
    <row r="21" spans="1:9" x14ac:dyDescent="0.25">
      <c r="A21" t="s">
        <v>284</v>
      </c>
      <c r="B21" t="s">
        <v>543</v>
      </c>
      <c r="C21" t="s">
        <v>537</v>
      </c>
      <c r="D21">
        <v>20251231</v>
      </c>
      <c r="E21">
        <v>4</v>
      </c>
      <c r="F21" t="s">
        <v>538</v>
      </c>
      <c r="G21" t="s">
        <v>539</v>
      </c>
      <c r="H21" t="s">
        <v>539</v>
      </c>
      <c r="I21">
        <v>565000000</v>
      </c>
    </row>
    <row r="22" spans="1:9" x14ac:dyDescent="0.25">
      <c r="A22" t="s">
        <v>278</v>
      </c>
      <c r="B22" t="s">
        <v>544</v>
      </c>
      <c r="C22" t="s">
        <v>537</v>
      </c>
      <c r="D22">
        <v>20251231</v>
      </c>
      <c r="E22">
        <v>0</v>
      </c>
      <c r="F22" t="s">
        <v>538</v>
      </c>
      <c r="G22" t="s">
        <v>539</v>
      </c>
      <c r="H22" t="s">
        <v>539</v>
      </c>
      <c r="I22">
        <v>65193000000</v>
      </c>
    </row>
    <row r="23" spans="1:9" x14ac:dyDescent="0.25">
      <c r="A23" t="s">
        <v>286</v>
      </c>
      <c r="B23" t="s">
        <v>541</v>
      </c>
      <c r="C23" t="s">
        <v>537</v>
      </c>
      <c r="D23">
        <v>20251231</v>
      </c>
      <c r="E23">
        <v>4</v>
      </c>
      <c r="F23" t="s">
        <v>538</v>
      </c>
      <c r="G23" t="s">
        <v>539</v>
      </c>
      <c r="H23" t="s">
        <v>539</v>
      </c>
      <c r="I23">
        <v>2420747000</v>
      </c>
    </row>
    <row r="24" spans="1:9" x14ac:dyDescent="0.25">
      <c r="A24" t="s">
        <v>280</v>
      </c>
      <c r="B24" t="s">
        <v>543</v>
      </c>
      <c r="C24" t="s">
        <v>537</v>
      </c>
      <c r="D24">
        <v>20251231</v>
      </c>
      <c r="E24">
        <v>4</v>
      </c>
      <c r="F24" t="s">
        <v>538</v>
      </c>
      <c r="G24" t="s">
        <v>539</v>
      </c>
      <c r="H24" t="s">
        <v>539</v>
      </c>
      <c r="I24">
        <v>2851000000</v>
      </c>
    </row>
    <row r="25" spans="1:9" x14ac:dyDescent="0.25">
      <c r="A25" t="s">
        <v>7</v>
      </c>
      <c r="B25" t="s">
        <v>543</v>
      </c>
      <c r="C25" t="s">
        <v>537</v>
      </c>
      <c r="D25">
        <v>20251231</v>
      </c>
      <c r="E25">
        <v>4</v>
      </c>
      <c r="F25" t="s">
        <v>538</v>
      </c>
      <c r="G25" t="s">
        <v>539</v>
      </c>
      <c r="H25" t="s">
        <v>539</v>
      </c>
      <c r="I25">
        <v>68541000</v>
      </c>
    </row>
    <row r="26" spans="1:9" x14ac:dyDescent="0.25">
      <c r="A26" t="s">
        <v>274</v>
      </c>
      <c r="B26" t="s">
        <v>536</v>
      </c>
      <c r="C26" t="s">
        <v>537</v>
      </c>
      <c r="D26">
        <v>20251231</v>
      </c>
      <c r="E26">
        <v>0</v>
      </c>
      <c r="F26" t="s">
        <v>538</v>
      </c>
      <c r="G26" t="s">
        <v>539</v>
      </c>
      <c r="H26" t="s">
        <v>539</v>
      </c>
      <c r="I26">
        <v>7737180000</v>
      </c>
    </row>
    <row r="27" spans="1:9" x14ac:dyDescent="0.25">
      <c r="A27" t="s">
        <v>276</v>
      </c>
      <c r="B27" t="s">
        <v>540</v>
      </c>
      <c r="C27" t="s">
        <v>537</v>
      </c>
      <c r="D27">
        <v>20251231</v>
      </c>
      <c r="E27">
        <v>0</v>
      </c>
      <c r="F27" t="s">
        <v>538</v>
      </c>
      <c r="G27" t="s">
        <v>539</v>
      </c>
      <c r="H27" t="s">
        <v>539</v>
      </c>
      <c r="I27">
        <v>214376000000</v>
      </c>
    </row>
    <row r="28" spans="1:9" x14ac:dyDescent="0.25">
      <c r="A28" t="s">
        <v>288</v>
      </c>
      <c r="B28" t="s">
        <v>536</v>
      </c>
      <c r="C28" t="s">
        <v>537</v>
      </c>
      <c r="D28">
        <v>20251231</v>
      </c>
      <c r="E28">
        <v>0</v>
      </c>
      <c r="F28" t="s">
        <v>538</v>
      </c>
      <c r="G28" t="s">
        <v>539</v>
      </c>
      <c r="H28" t="s">
        <v>539</v>
      </c>
      <c r="I28">
        <v>180504000000</v>
      </c>
    </row>
    <row r="29" spans="1:9" x14ac:dyDescent="0.25">
      <c r="A29" t="s">
        <v>272</v>
      </c>
      <c r="B29" t="s">
        <v>536</v>
      </c>
      <c r="C29" t="s">
        <v>537</v>
      </c>
      <c r="D29">
        <v>20251231</v>
      </c>
      <c r="E29">
        <v>0</v>
      </c>
      <c r="F29" t="s">
        <v>538</v>
      </c>
      <c r="G29" t="s">
        <v>539</v>
      </c>
      <c r="H29" t="s">
        <v>539</v>
      </c>
      <c r="I29">
        <v>29100317000</v>
      </c>
    </row>
    <row r="30" spans="1:9" x14ac:dyDescent="0.25">
      <c r="A30" t="s">
        <v>272</v>
      </c>
      <c r="B30" t="s">
        <v>544</v>
      </c>
      <c r="C30" t="s">
        <v>537</v>
      </c>
      <c r="D30">
        <v>20251231</v>
      </c>
      <c r="E30">
        <v>0</v>
      </c>
      <c r="F30" t="s">
        <v>538</v>
      </c>
      <c r="G30" t="s">
        <v>539</v>
      </c>
      <c r="H30" t="s">
        <v>539</v>
      </c>
      <c r="I30">
        <v>3791371000</v>
      </c>
    </row>
    <row r="31" spans="1:9" x14ac:dyDescent="0.25">
      <c r="A31" t="s">
        <v>278</v>
      </c>
      <c r="B31" t="s">
        <v>536</v>
      </c>
      <c r="C31" t="s">
        <v>537</v>
      </c>
      <c r="D31">
        <v>20251231</v>
      </c>
      <c r="E31">
        <v>0</v>
      </c>
      <c r="F31" t="s">
        <v>538</v>
      </c>
      <c r="G31" t="s">
        <v>539</v>
      </c>
      <c r="H31" t="s">
        <v>539</v>
      </c>
      <c r="I31">
        <v>626694000000</v>
      </c>
    </row>
    <row r="32" spans="1:9" x14ac:dyDescent="0.25">
      <c r="A32" t="s">
        <v>290</v>
      </c>
      <c r="B32" t="s">
        <v>543</v>
      </c>
      <c r="C32" t="s">
        <v>537</v>
      </c>
      <c r="D32">
        <v>20251231</v>
      </c>
      <c r="E32">
        <v>4</v>
      </c>
      <c r="F32" t="s">
        <v>538</v>
      </c>
      <c r="G32" t="s">
        <v>539</v>
      </c>
      <c r="H32" t="s">
        <v>539</v>
      </c>
      <c r="I32">
        <v>205902000</v>
      </c>
    </row>
    <row r="33" spans="1:9" x14ac:dyDescent="0.25">
      <c r="A33" t="s">
        <v>280</v>
      </c>
      <c r="B33" t="s">
        <v>540</v>
      </c>
      <c r="C33" t="s">
        <v>537</v>
      </c>
      <c r="D33">
        <v>20251231</v>
      </c>
      <c r="E33">
        <v>0</v>
      </c>
      <c r="F33" t="s">
        <v>538</v>
      </c>
      <c r="G33" t="s">
        <v>539</v>
      </c>
      <c r="H33" t="s">
        <v>539</v>
      </c>
      <c r="I33">
        <v>213510000000</v>
      </c>
    </row>
    <row r="34" spans="1:9" x14ac:dyDescent="0.25">
      <c r="A34" t="s">
        <v>288</v>
      </c>
      <c r="B34" t="s">
        <v>540</v>
      </c>
      <c r="C34" t="s">
        <v>537</v>
      </c>
      <c r="D34">
        <v>20251231</v>
      </c>
      <c r="E34">
        <v>0</v>
      </c>
      <c r="F34" t="s">
        <v>538</v>
      </c>
      <c r="G34" t="s">
        <v>539</v>
      </c>
      <c r="H34" t="s">
        <v>539</v>
      </c>
      <c r="I34">
        <v>196002000000</v>
      </c>
    </row>
    <row r="35" spans="1:9" x14ac:dyDescent="0.25">
      <c r="A35" t="s">
        <v>7</v>
      </c>
      <c r="B35" t="s">
        <v>540</v>
      </c>
      <c r="C35" t="s">
        <v>537</v>
      </c>
      <c r="D35">
        <v>20251231</v>
      </c>
      <c r="E35">
        <v>0</v>
      </c>
      <c r="F35" t="s">
        <v>538</v>
      </c>
      <c r="G35" t="s">
        <v>539</v>
      </c>
      <c r="H35" t="s">
        <v>539</v>
      </c>
      <c r="I35">
        <v>5505720000</v>
      </c>
    </row>
    <row r="36" spans="1:9" x14ac:dyDescent="0.25">
      <c r="A36" t="s">
        <v>278</v>
      </c>
      <c r="B36" t="s">
        <v>541</v>
      </c>
      <c r="C36" t="s">
        <v>537</v>
      </c>
      <c r="D36">
        <v>20251231</v>
      </c>
      <c r="E36">
        <v>4</v>
      </c>
      <c r="F36" t="s">
        <v>538</v>
      </c>
      <c r="G36" t="s">
        <v>539</v>
      </c>
      <c r="H36" t="s">
        <v>539</v>
      </c>
      <c r="I36">
        <v>30970000000</v>
      </c>
    </row>
    <row r="37" spans="1:9" x14ac:dyDescent="0.25">
      <c r="A37" t="s">
        <v>282</v>
      </c>
      <c r="B37" t="s">
        <v>545</v>
      </c>
      <c r="C37" t="s">
        <v>537</v>
      </c>
      <c r="D37">
        <v>20251231</v>
      </c>
      <c r="E37">
        <v>4</v>
      </c>
      <c r="F37" t="s">
        <v>538</v>
      </c>
      <c r="G37" t="s">
        <v>539</v>
      </c>
      <c r="H37" t="s">
        <v>539</v>
      </c>
      <c r="I37">
        <v>4186000000</v>
      </c>
    </row>
    <row r="38" spans="1:9" x14ac:dyDescent="0.25">
      <c r="A38" t="s">
        <v>290</v>
      </c>
      <c r="B38" t="s">
        <v>540</v>
      </c>
      <c r="C38" t="s">
        <v>537</v>
      </c>
      <c r="D38">
        <v>20251231</v>
      </c>
      <c r="E38">
        <v>0</v>
      </c>
      <c r="F38" t="s">
        <v>538</v>
      </c>
      <c r="G38" t="s">
        <v>539</v>
      </c>
      <c r="H38" t="s">
        <v>539</v>
      </c>
      <c r="I38">
        <v>24176364000</v>
      </c>
    </row>
    <row r="39" spans="1:9" x14ac:dyDescent="0.25">
      <c r="A39" t="s">
        <v>7</v>
      </c>
      <c r="B39" t="s">
        <v>536</v>
      </c>
      <c r="C39" t="s">
        <v>537</v>
      </c>
      <c r="D39">
        <v>20251231</v>
      </c>
      <c r="E39">
        <v>0</v>
      </c>
      <c r="F39" t="s">
        <v>538</v>
      </c>
      <c r="G39" t="s">
        <v>539</v>
      </c>
      <c r="H39" t="s">
        <v>539</v>
      </c>
      <c r="I39">
        <v>5002769000</v>
      </c>
    </row>
    <row r="40" spans="1:9" x14ac:dyDescent="0.25">
      <c r="A40" t="s">
        <v>282</v>
      </c>
      <c r="B40" t="s">
        <v>544</v>
      </c>
      <c r="C40" t="s">
        <v>537</v>
      </c>
      <c r="D40">
        <v>20251231</v>
      </c>
      <c r="E40">
        <v>0</v>
      </c>
      <c r="F40" t="s">
        <v>538</v>
      </c>
      <c r="G40" t="s">
        <v>539</v>
      </c>
      <c r="H40" t="s">
        <v>539</v>
      </c>
      <c r="I40">
        <v>8847000000</v>
      </c>
    </row>
    <row r="41" spans="1:9" x14ac:dyDescent="0.25">
      <c r="A41" t="s">
        <v>292</v>
      </c>
      <c r="B41" t="s">
        <v>542</v>
      </c>
      <c r="C41" t="s">
        <v>537</v>
      </c>
      <c r="D41">
        <v>20251231</v>
      </c>
      <c r="E41">
        <v>4</v>
      </c>
      <c r="F41" t="s">
        <v>538</v>
      </c>
      <c r="G41" t="s">
        <v>539</v>
      </c>
      <c r="H41" t="s">
        <v>539</v>
      </c>
      <c r="I41">
        <v>1.41</v>
      </c>
    </row>
    <row r="42" spans="1:9" x14ac:dyDescent="0.25">
      <c r="A42" t="s">
        <v>288</v>
      </c>
      <c r="B42" t="s">
        <v>544</v>
      </c>
      <c r="C42" t="s">
        <v>537</v>
      </c>
      <c r="D42">
        <v>20251231</v>
      </c>
      <c r="E42">
        <v>0</v>
      </c>
      <c r="F42" t="s">
        <v>538</v>
      </c>
      <c r="G42" t="s">
        <v>539</v>
      </c>
      <c r="H42" t="s">
        <v>539</v>
      </c>
      <c r="I42">
        <v>15498000000</v>
      </c>
    </row>
    <row r="43" spans="1:9" x14ac:dyDescent="0.25">
      <c r="A43" t="s">
        <v>292</v>
      </c>
      <c r="B43" t="s">
        <v>544</v>
      </c>
      <c r="C43" t="s">
        <v>537</v>
      </c>
      <c r="D43">
        <v>20251231</v>
      </c>
      <c r="E43">
        <v>0</v>
      </c>
      <c r="F43" t="s">
        <v>538</v>
      </c>
      <c r="G43" t="s">
        <v>539</v>
      </c>
      <c r="H43" t="s">
        <v>539</v>
      </c>
      <c r="I43">
        <v>24342000000</v>
      </c>
    </row>
    <row r="44" spans="1:9" x14ac:dyDescent="0.25">
      <c r="A44" t="s">
        <v>274</v>
      </c>
      <c r="B44" t="s">
        <v>540</v>
      </c>
      <c r="C44" t="s">
        <v>537</v>
      </c>
      <c r="D44">
        <v>20251231</v>
      </c>
      <c r="E44">
        <v>0</v>
      </c>
      <c r="F44" t="s">
        <v>538</v>
      </c>
      <c r="G44" t="s">
        <v>539</v>
      </c>
      <c r="H44" t="s">
        <v>539</v>
      </c>
      <c r="I44">
        <v>9055270000</v>
      </c>
    </row>
    <row r="45" spans="1:9" x14ac:dyDescent="0.25">
      <c r="A45" t="s">
        <v>282</v>
      </c>
      <c r="B45" t="s">
        <v>542</v>
      </c>
      <c r="C45" t="s">
        <v>537</v>
      </c>
      <c r="D45">
        <v>20251231</v>
      </c>
      <c r="E45">
        <v>4</v>
      </c>
      <c r="F45" t="s">
        <v>538</v>
      </c>
      <c r="G45" t="s">
        <v>539</v>
      </c>
      <c r="H45" t="s">
        <v>539</v>
      </c>
      <c r="I45">
        <v>1.89</v>
      </c>
    </row>
    <row r="46" spans="1:9" x14ac:dyDescent="0.25">
      <c r="A46" t="s">
        <v>290</v>
      </c>
      <c r="B46" t="s">
        <v>541</v>
      </c>
      <c r="C46" t="s">
        <v>537</v>
      </c>
      <c r="D46">
        <v>20251231</v>
      </c>
      <c r="E46">
        <v>4</v>
      </c>
      <c r="F46" t="s">
        <v>538</v>
      </c>
      <c r="G46" t="s">
        <v>539</v>
      </c>
      <c r="H46" t="s">
        <v>539</v>
      </c>
      <c r="I46">
        <v>887823000</v>
      </c>
    </row>
    <row r="47" spans="1:9" x14ac:dyDescent="0.25">
      <c r="A47" t="s">
        <v>282</v>
      </c>
      <c r="B47" t="s">
        <v>543</v>
      </c>
      <c r="C47" t="s">
        <v>537</v>
      </c>
      <c r="D47">
        <v>20251231</v>
      </c>
      <c r="E47">
        <v>4</v>
      </c>
      <c r="F47" t="s">
        <v>538</v>
      </c>
      <c r="G47" t="s">
        <v>539</v>
      </c>
      <c r="H47" t="s">
        <v>539</v>
      </c>
      <c r="I47">
        <v>982000000</v>
      </c>
    </row>
    <row r="48" spans="1:9" x14ac:dyDescent="0.25">
      <c r="A48" t="s">
        <v>7</v>
      </c>
      <c r="B48" t="s">
        <v>542</v>
      </c>
      <c r="C48" t="s">
        <v>537</v>
      </c>
      <c r="D48">
        <v>20251231</v>
      </c>
      <c r="E48">
        <v>4</v>
      </c>
      <c r="F48" t="s">
        <v>538</v>
      </c>
      <c r="G48" t="s">
        <v>539</v>
      </c>
      <c r="H48" t="s">
        <v>539</v>
      </c>
      <c r="I48">
        <v>3.3</v>
      </c>
    </row>
    <row r="49" spans="1:9" x14ac:dyDescent="0.25">
      <c r="A49" t="s">
        <v>7</v>
      </c>
      <c r="B49" t="s">
        <v>544</v>
      </c>
      <c r="C49" t="s">
        <v>537</v>
      </c>
      <c r="D49">
        <v>20251231</v>
      </c>
      <c r="E49">
        <v>0</v>
      </c>
      <c r="F49" t="s">
        <v>538</v>
      </c>
      <c r="G49" t="s">
        <v>539</v>
      </c>
      <c r="H49" t="s">
        <v>539</v>
      </c>
      <c r="I49">
        <v>502951000</v>
      </c>
    </row>
    <row r="50" spans="1:9" x14ac:dyDescent="0.25">
      <c r="A50" t="s">
        <v>284</v>
      </c>
      <c r="B50" t="s">
        <v>541</v>
      </c>
      <c r="C50" t="s">
        <v>537</v>
      </c>
      <c r="D50">
        <v>20251231</v>
      </c>
      <c r="E50">
        <v>4</v>
      </c>
      <c r="F50" t="s">
        <v>538</v>
      </c>
      <c r="G50" t="s">
        <v>539</v>
      </c>
      <c r="H50" t="s">
        <v>539</v>
      </c>
      <c r="I50">
        <v>2326000000</v>
      </c>
    </row>
    <row r="51" spans="1:9" x14ac:dyDescent="0.25">
      <c r="A51" t="s">
        <v>288</v>
      </c>
      <c r="B51" t="s">
        <v>542</v>
      </c>
      <c r="C51" t="s">
        <v>537</v>
      </c>
      <c r="D51">
        <v>20251231</v>
      </c>
      <c r="E51">
        <v>4</v>
      </c>
      <c r="F51" t="s">
        <v>538</v>
      </c>
      <c r="G51" t="s">
        <v>539</v>
      </c>
      <c r="H51" t="s">
        <v>539</v>
      </c>
      <c r="I51">
        <v>2.39</v>
      </c>
    </row>
    <row r="52" spans="1:9" x14ac:dyDescent="0.25">
      <c r="A52" t="s">
        <v>292</v>
      </c>
      <c r="B52" t="s">
        <v>543</v>
      </c>
      <c r="C52" t="s">
        <v>537</v>
      </c>
      <c r="D52">
        <v>20251231</v>
      </c>
      <c r="E52">
        <v>4</v>
      </c>
      <c r="F52" t="s">
        <v>538</v>
      </c>
      <c r="G52" t="s">
        <v>539</v>
      </c>
      <c r="H52" t="s">
        <v>539</v>
      </c>
      <c r="I52">
        <v>2211000000</v>
      </c>
    </row>
    <row r="53" spans="1:9" x14ac:dyDescent="0.25">
      <c r="A53" t="s">
        <v>286</v>
      </c>
      <c r="B53" t="s">
        <v>540</v>
      </c>
      <c r="C53" t="s">
        <v>537</v>
      </c>
      <c r="D53">
        <v>20251231</v>
      </c>
      <c r="E53">
        <v>0</v>
      </c>
      <c r="F53" t="s">
        <v>538</v>
      </c>
      <c r="G53" t="s">
        <v>539</v>
      </c>
      <c r="H53" t="s">
        <v>539</v>
      </c>
      <c r="I53">
        <v>53041424000</v>
      </c>
    </row>
    <row r="54" spans="1:9" x14ac:dyDescent="0.25">
      <c r="A54" t="s">
        <v>286</v>
      </c>
      <c r="B54" t="s">
        <v>542</v>
      </c>
      <c r="C54" t="s">
        <v>537</v>
      </c>
      <c r="D54">
        <v>20251231</v>
      </c>
      <c r="E54">
        <v>4</v>
      </c>
      <c r="F54" t="s">
        <v>538</v>
      </c>
      <c r="G54" t="s">
        <v>539</v>
      </c>
      <c r="H54" t="s">
        <v>539</v>
      </c>
      <c r="I54">
        <v>9.92</v>
      </c>
    </row>
    <row r="55" spans="1:9" x14ac:dyDescent="0.25">
      <c r="A55" t="s">
        <v>286</v>
      </c>
      <c r="B55" t="s">
        <v>544</v>
      </c>
      <c r="C55" t="s">
        <v>537</v>
      </c>
      <c r="D55">
        <v>20251231</v>
      </c>
      <c r="E55">
        <v>0</v>
      </c>
      <c r="F55" t="s">
        <v>538</v>
      </c>
      <c r="G55" t="s">
        <v>539</v>
      </c>
      <c r="H55" t="s">
        <v>539</v>
      </c>
      <c r="I55">
        <v>4573036000</v>
      </c>
    </row>
    <row r="56" spans="1:9" x14ac:dyDescent="0.25">
      <c r="A56" t="s">
        <v>7</v>
      </c>
      <c r="B56" t="s">
        <v>541</v>
      </c>
      <c r="C56" t="s">
        <v>537</v>
      </c>
      <c r="D56">
        <v>20251231</v>
      </c>
      <c r="E56">
        <v>4</v>
      </c>
      <c r="F56" t="s">
        <v>538</v>
      </c>
      <c r="G56" t="s">
        <v>539</v>
      </c>
      <c r="H56" t="s">
        <v>539</v>
      </c>
      <c r="I56">
        <v>269737000</v>
      </c>
    </row>
    <row r="57" spans="1:9" x14ac:dyDescent="0.25">
      <c r="A57" t="s">
        <v>296</v>
      </c>
      <c r="B57" t="s">
        <v>540</v>
      </c>
      <c r="C57" t="s">
        <v>537</v>
      </c>
      <c r="D57">
        <v>20251231</v>
      </c>
      <c r="E57">
        <v>0</v>
      </c>
      <c r="F57" t="s">
        <v>538</v>
      </c>
      <c r="G57" t="s">
        <v>539</v>
      </c>
      <c r="H57" t="s">
        <v>539</v>
      </c>
      <c r="I57">
        <v>2148631000000</v>
      </c>
    </row>
    <row r="58" spans="1:9" x14ac:dyDescent="0.25">
      <c r="A58" t="s">
        <v>296</v>
      </c>
      <c r="B58" t="s">
        <v>541</v>
      </c>
      <c r="C58" t="s">
        <v>537</v>
      </c>
      <c r="D58">
        <v>20251231</v>
      </c>
      <c r="E58">
        <v>4</v>
      </c>
      <c r="F58" t="s">
        <v>538</v>
      </c>
      <c r="G58" t="s">
        <v>539</v>
      </c>
      <c r="H58" t="s">
        <v>539</v>
      </c>
      <c r="I58">
        <v>87314000000</v>
      </c>
    </row>
    <row r="59" spans="1:9" x14ac:dyDescent="0.25">
      <c r="A59" t="s">
        <v>290</v>
      </c>
      <c r="B59" t="s">
        <v>542</v>
      </c>
      <c r="C59" t="s">
        <v>537</v>
      </c>
      <c r="D59">
        <v>20251231</v>
      </c>
      <c r="E59">
        <v>4</v>
      </c>
      <c r="F59" t="s">
        <v>538</v>
      </c>
      <c r="G59" t="s">
        <v>539</v>
      </c>
      <c r="H59" t="s">
        <v>539</v>
      </c>
      <c r="I59">
        <v>4.67</v>
      </c>
    </row>
    <row r="60" spans="1:9" x14ac:dyDescent="0.25">
      <c r="A60" t="s">
        <v>296</v>
      </c>
      <c r="B60" t="s">
        <v>536</v>
      </c>
      <c r="C60" t="s">
        <v>537</v>
      </c>
      <c r="D60">
        <v>20251231</v>
      </c>
      <c r="E60">
        <v>0</v>
      </c>
      <c r="F60" t="s">
        <v>538</v>
      </c>
      <c r="G60" t="s">
        <v>539</v>
      </c>
      <c r="H60" t="s">
        <v>539</v>
      </c>
      <c r="I60">
        <v>1965593000000</v>
      </c>
    </row>
    <row r="61" spans="1:9" x14ac:dyDescent="0.25">
      <c r="A61" t="s">
        <v>290</v>
      </c>
      <c r="B61" t="s">
        <v>536</v>
      </c>
      <c r="C61" t="s">
        <v>537</v>
      </c>
      <c r="D61">
        <v>20251231</v>
      </c>
      <c r="E61">
        <v>0</v>
      </c>
      <c r="F61" t="s">
        <v>538</v>
      </c>
      <c r="G61" t="s">
        <v>539</v>
      </c>
      <c r="H61" t="s">
        <v>539</v>
      </c>
      <c r="I61">
        <v>22325152000</v>
      </c>
    </row>
    <row r="62" spans="1:9" x14ac:dyDescent="0.25">
      <c r="A62" t="s">
        <v>296</v>
      </c>
      <c r="B62" t="s">
        <v>544</v>
      </c>
      <c r="C62" t="s">
        <v>537</v>
      </c>
      <c r="D62">
        <v>20251231</v>
      </c>
      <c r="E62">
        <v>0</v>
      </c>
      <c r="F62" t="s">
        <v>538</v>
      </c>
      <c r="G62" t="s">
        <v>539</v>
      </c>
      <c r="H62" t="s">
        <v>539</v>
      </c>
      <c r="I62">
        <v>181117000000</v>
      </c>
    </row>
    <row r="63" spans="1:9" x14ac:dyDescent="0.25">
      <c r="A63" t="s">
        <v>270</v>
      </c>
      <c r="B63" t="s">
        <v>543</v>
      </c>
      <c r="C63" t="s">
        <v>537</v>
      </c>
      <c r="D63">
        <v>20251231</v>
      </c>
      <c r="E63">
        <v>4</v>
      </c>
      <c r="F63" t="s">
        <v>538</v>
      </c>
      <c r="G63" t="s">
        <v>539</v>
      </c>
      <c r="H63" t="s">
        <v>539</v>
      </c>
      <c r="I63">
        <v>474777000</v>
      </c>
    </row>
    <row r="64" spans="1:9" x14ac:dyDescent="0.25">
      <c r="A64" t="s">
        <v>292</v>
      </c>
      <c r="B64" t="s">
        <v>540</v>
      </c>
      <c r="C64" t="s">
        <v>537</v>
      </c>
      <c r="D64">
        <v>20251231</v>
      </c>
      <c r="E64">
        <v>0</v>
      </c>
      <c r="F64" t="s">
        <v>538</v>
      </c>
      <c r="G64" t="s">
        <v>539</v>
      </c>
      <c r="H64" t="s">
        <v>539</v>
      </c>
      <c r="I64">
        <v>225106000000</v>
      </c>
    </row>
    <row r="65" spans="1:9" x14ac:dyDescent="0.25">
      <c r="A65" t="s">
        <v>292</v>
      </c>
      <c r="B65" t="s">
        <v>536</v>
      </c>
      <c r="C65" t="s">
        <v>537</v>
      </c>
      <c r="D65">
        <v>20251231</v>
      </c>
      <c r="E65">
        <v>0</v>
      </c>
      <c r="F65" t="s">
        <v>538</v>
      </c>
      <c r="G65" t="s">
        <v>539</v>
      </c>
      <c r="H65" t="s">
        <v>539</v>
      </c>
      <c r="I65">
        <v>200727000000</v>
      </c>
    </row>
    <row r="66" spans="1:9" x14ac:dyDescent="0.25">
      <c r="A66" t="s">
        <v>300</v>
      </c>
      <c r="B66" t="s">
        <v>540</v>
      </c>
      <c r="C66" t="s">
        <v>537</v>
      </c>
      <c r="D66">
        <v>20251231</v>
      </c>
      <c r="E66">
        <v>0</v>
      </c>
      <c r="F66" t="s">
        <v>538</v>
      </c>
      <c r="G66" t="s">
        <v>539</v>
      </c>
      <c r="H66" t="s">
        <v>539</v>
      </c>
      <c r="I66">
        <v>172410000000</v>
      </c>
    </row>
    <row r="67" spans="1:9" x14ac:dyDescent="0.25">
      <c r="A67" t="s">
        <v>294</v>
      </c>
      <c r="B67" t="s">
        <v>540</v>
      </c>
      <c r="C67" t="s">
        <v>537</v>
      </c>
      <c r="D67">
        <v>20251231</v>
      </c>
      <c r="E67">
        <v>0</v>
      </c>
      <c r="F67" t="s">
        <v>538</v>
      </c>
      <c r="G67" t="s">
        <v>539</v>
      </c>
      <c r="H67" t="s">
        <v>539</v>
      </c>
      <c r="I67">
        <v>3411738000000</v>
      </c>
    </row>
    <row r="68" spans="1:9" x14ac:dyDescent="0.25">
      <c r="A68" t="s">
        <v>294</v>
      </c>
      <c r="B68" t="s">
        <v>543</v>
      </c>
      <c r="C68" t="s">
        <v>537</v>
      </c>
      <c r="D68">
        <v>20251231</v>
      </c>
      <c r="E68">
        <v>4</v>
      </c>
      <c r="F68" t="s">
        <v>538</v>
      </c>
      <c r="G68" t="s">
        <v>539</v>
      </c>
      <c r="H68" t="s">
        <v>539</v>
      </c>
      <c r="I68">
        <v>30509000000</v>
      </c>
    </row>
    <row r="69" spans="1:9" x14ac:dyDescent="0.25">
      <c r="A69" t="s">
        <v>296</v>
      </c>
      <c r="B69" t="s">
        <v>543</v>
      </c>
      <c r="C69" t="s">
        <v>537</v>
      </c>
      <c r="D69">
        <v>20251231</v>
      </c>
      <c r="E69">
        <v>4</v>
      </c>
      <c r="F69" t="s">
        <v>538</v>
      </c>
      <c r="G69" t="s">
        <v>539</v>
      </c>
      <c r="H69" t="s">
        <v>539</v>
      </c>
      <c r="I69">
        <v>21338000000</v>
      </c>
    </row>
    <row r="70" spans="1:9" x14ac:dyDescent="0.25">
      <c r="A70" t="s">
        <v>298</v>
      </c>
      <c r="B70" t="s">
        <v>541</v>
      </c>
      <c r="C70" t="s">
        <v>537</v>
      </c>
      <c r="D70">
        <v>20251231</v>
      </c>
      <c r="E70">
        <v>4</v>
      </c>
      <c r="F70" t="s">
        <v>538</v>
      </c>
      <c r="G70" t="s">
        <v>539</v>
      </c>
      <c r="H70" t="s">
        <v>539</v>
      </c>
      <c r="I70">
        <v>8624600000</v>
      </c>
    </row>
    <row r="71" spans="1:9" x14ac:dyDescent="0.25">
      <c r="A71" t="s">
        <v>302</v>
      </c>
      <c r="B71" t="s">
        <v>540</v>
      </c>
      <c r="C71" t="s">
        <v>537</v>
      </c>
      <c r="D71">
        <v>20251231</v>
      </c>
      <c r="E71">
        <v>0</v>
      </c>
      <c r="F71" t="s">
        <v>538</v>
      </c>
      <c r="G71" t="s">
        <v>539</v>
      </c>
      <c r="H71" t="s">
        <v>539</v>
      </c>
      <c r="I71">
        <v>547538000000</v>
      </c>
    </row>
    <row r="72" spans="1:9" x14ac:dyDescent="0.25">
      <c r="A72" t="s">
        <v>302</v>
      </c>
      <c r="B72" t="s">
        <v>542</v>
      </c>
      <c r="C72" t="s">
        <v>537</v>
      </c>
      <c r="D72">
        <v>20251231</v>
      </c>
      <c r="E72">
        <v>4</v>
      </c>
      <c r="F72" t="s">
        <v>538</v>
      </c>
      <c r="G72" t="s">
        <v>539</v>
      </c>
      <c r="H72" t="s">
        <v>539</v>
      </c>
      <c r="I72">
        <v>3.87</v>
      </c>
    </row>
    <row r="73" spans="1:9" x14ac:dyDescent="0.25">
      <c r="A73" t="s">
        <v>294</v>
      </c>
      <c r="B73" t="s">
        <v>542</v>
      </c>
      <c r="C73" t="s">
        <v>537</v>
      </c>
      <c r="D73">
        <v>20251231</v>
      </c>
      <c r="E73">
        <v>4</v>
      </c>
      <c r="F73" t="s">
        <v>538</v>
      </c>
      <c r="G73" t="s">
        <v>539</v>
      </c>
      <c r="H73" t="s">
        <v>539</v>
      </c>
      <c r="I73">
        <v>3.86</v>
      </c>
    </row>
    <row r="74" spans="1:9" x14ac:dyDescent="0.25">
      <c r="A74" t="s">
        <v>294</v>
      </c>
      <c r="B74" t="s">
        <v>544</v>
      </c>
      <c r="C74" t="s">
        <v>537</v>
      </c>
      <c r="D74">
        <v>20251231</v>
      </c>
      <c r="E74">
        <v>0</v>
      </c>
      <c r="F74" t="s">
        <v>538</v>
      </c>
      <c r="G74" t="s">
        <v>539</v>
      </c>
      <c r="H74" t="s">
        <v>539</v>
      </c>
      <c r="I74">
        <v>303243000000</v>
      </c>
    </row>
    <row r="75" spans="1:9" x14ac:dyDescent="0.25">
      <c r="A75" t="s">
        <v>298</v>
      </c>
      <c r="B75" t="s">
        <v>542</v>
      </c>
      <c r="C75" t="s">
        <v>537</v>
      </c>
      <c r="D75">
        <v>20251231</v>
      </c>
      <c r="E75">
        <v>4</v>
      </c>
      <c r="F75" t="s">
        <v>538</v>
      </c>
      <c r="G75" t="s">
        <v>539</v>
      </c>
      <c r="H75" t="s">
        <v>539</v>
      </c>
      <c r="I75">
        <v>8.7799999999999994</v>
      </c>
    </row>
    <row r="76" spans="1:9" x14ac:dyDescent="0.25">
      <c r="A76" t="s">
        <v>300</v>
      </c>
      <c r="B76" t="s">
        <v>544</v>
      </c>
      <c r="C76" t="s">
        <v>537</v>
      </c>
      <c r="D76">
        <v>20251231</v>
      </c>
      <c r="E76">
        <v>0</v>
      </c>
      <c r="F76" t="s">
        <v>538</v>
      </c>
      <c r="G76" t="s">
        <v>539</v>
      </c>
      <c r="H76" t="s">
        <v>539</v>
      </c>
      <c r="I76">
        <v>12439000000</v>
      </c>
    </row>
    <row r="77" spans="1:9" x14ac:dyDescent="0.25">
      <c r="A77" t="s">
        <v>300</v>
      </c>
      <c r="B77" t="s">
        <v>536</v>
      </c>
      <c r="C77" t="s">
        <v>537</v>
      </c>
      <c r="D77">
        <v>20251231</v>
      </c>
      <c r="E77">
        <v>0</v>
      </c>
      <c r="F77" t="s">
        <v>538</v>
      </c>
      <c r="G77" t="s">
        <v>539</v>
      </c>
      <c r="H77" t="s">
        <v>539</v>
      </c>
      <c r="I77">
        <v>159971000000</v>
      </c>
    </row>
    <row r="78" spans="1:9" x14ac:dyDescent="0.25">
      <c r="A78" t="s">
        <v>306</v>
      </c>
      <c r="B78" t="s">
        <v>541</v>
      </c>
      <c r="C78" t="s">
        <v>537</v>
      </c>
      <c r="D78">
        <v>20251231</v>
      </c>
      <c r="E78">
        <v>4</v>
      </c>
      <c r="F78" t="s">
        <v>538</v>
      </c>
      <c r="G78" t="s">
        <v>539</v>
      </c>
      <c r="H78" t="s">
        <v>539</v>
      </c>
      <c r="I78">
        <v>430486000</v>
      </c>
    </row>
    <row r="79" spans="1:9" x14ac:dyDescent="0.25">
      <c r="A79" t="s">
        <v>306</v>
      </c>
      <c r="B79" t="s">
        <v>540</v>
      </c>
      <c r="C79" t="s">
        <v>537</v>
      </c>
      <c r="D79">
        <v>20251231</v>
      </c>
      <c r="E79">
        <v>0</v>
      </c>
      <c r="F79" t="s">
        <v>538</v>
      </c>
      <c r="G79" t="s">
        <v>539</v>
      </c>
      <c r="H79" t="s">
        <v>539</v>
      </c>
      <c r="I79">
        <v>8436897000</v>
      </c>
    </row>
    <row r="80" spans="1:9" x14ac:dyDescent="0.25">
      <c r="A80" t="s">
        <v>306</v>
      </c>
      <c r="B80" t="s">
        <v>543</v>
      </c>
      <c r="C80" t="s">
        <v>537</v>
      </c>
      <c r="D80">
        <v>20251231</v>
      </c>
      <c r="E80">
        <v>4</v>
      </c>
      <c r="F80" t="s">
        <v>538</v>
      </c>
      <c r="G80" t="s">
        <v>539</v>
      </c>
      <c r="H80" t="s">
        <v>539</v>
      </c>
      <c r="I80">
        <v>90757000</v>
      </c>
    </row>
    <row r="81" spans="1:9" x14ac:dyDescent="0.25">
      <c r="A81" t="s">
        <v>300</v>
      </c>
      <c r="B81" t="s">
        <v>543</v>
      </c>
      <c r="C81" t="s">
        <v>537</v>
      </c>
      <c r="D81">
        <v>20251231</v>
      </c>
      <c r="E81">
        <v>4</v>
      </c>
      <c r="F81" t="s">
        <v>538</v>
      </c>
      <c r="G81" t="s">
        <v>539</v>
      </c>
      <c r="H81" t="s">
        <v>539</v>
      </c>
      <c r="I81">
        <v>1101000000</v>
      </c>
    </row>
    <row r="82" spans="1:9" x14ac:dyDescent="0.25">
      <c r="A82" t="s">
        <v>308</v>
      </c>
      <c r="B82" t="s">
        <v>536</v>
      </c>
      <c r="C82" t="s">
        <v>537</v>
      </c>
      <c r="D82">
        <v>20251231</v>
      </c>
      <c r="E82">
        <v>0</v>
      </c>
      <c r="F82" t="s">
        <v>538</v>
      </c>
      <c r="G82" t="s">
        <v>539</v>
      </c>
      <c r="H82" t="s">
        <v>539</v>
      </c>
      <c r="I82">
        <v>81810000000</v>
      </c>
    </row>
    <row r="83" spans="1:9" x14ac:dyDescent="0.25">
      <c r="A83" t="s">
        <v>302</v>
      </c>
      <c r="B83" t="s">
        <v>541</v>
      </c>
      <c r="C83" t="s">
        <v>537</v>
      </c>
      <c r="D83">
        <v>20251231</v>
      </c>
      <c r="E83">
        <v>4</v>
      </c>
      <c r="F83" t="s">
        <v>538</v>
      </c>
      <c r="G83" t="s">
        <v>539</v>
      </c>
      <c r="H83" t="s">
        <v>539</v>
      </c>
      <c r="I83">
        <v>24542000000</v>
      </c>
    </row>
    <row r="84" spans="1:9" x14ac:dyDescent="0.25">
      <c r="A84" t="s">
        <v>308</v>
      </c>
      <c r="B84" t="s">
        <v>540</v>
      </c>
      <c r="C84" t="s">
        <v>537</v>
      </c>
      <c r="D84">
        <v>20251231</v>
      </c>
      <c r="E84">
        <v>0</v>
      </c>
      <c r="F84" t="s">
        <v>538</v>
      </c>
      <c r="G84" t="s">
        <v>539</v>
      </c>
      <c r="H84" t="s">
        <v>539</v>
      </c>
      <c r="I84">
        <v>88990000000</v>
      </c>
    </row>
    <row r="85" spans="1:9" x14ac:dyDescent="0.25">
      <c r="A85" t="s">
        <v>304</v>
      </c>
      <c r="B85" t="s">
        <v>536</v>
      </c>
      <c r="C85" t="s">
        <v>537</v>
      </c>
      <c r="D85">
        <v>20251231</v>
      </c>
      <c r="E85">
        <v>0</v>
      </c>
      <c r="F85" t="s">
        <v>538</v>
      </c>
      <c r="G85" t="s">
        <v>539</v>
      </c>
      <c r="H85" t="s">
        <v>539</v>
      </c>
      <c r="I85">
        <v>338206000000</v>
      </c>
    </row>
    <row r="86" spans="1:9" x14ac:dyDescent="0.25">
      <c r="A86" t="s">
        <v>304</v>
      </c>
      <c r="B86" t="s">
        <v>543</v>
      </c>
      <c r="C86" t="s">
        <v>537</v>
      </c>
      <c r="D86">
        <v>20251231</v>
      </c>
      <c r="E86">
        <v>4</v>
      </c>
      <c r="F86" t="s">
        <v>538</v>
      </c>
      <c r="G86" t="s">
        <v>539</v>
      </c>
      <c r="H86" t="s">
        <v>539</v>
      </c>
      <c r="I86">
        <v>2945000000</v>
      </c>
    </row>
    <row r="87" spans="1:9" x14ac:dyDescent="0.25">
      <c r="A87" t="s">
        <v>304</v>
      </c>
      <c r="B87" t="s">
        <v>542</v>
      </c>
      <c r="C87" t="s">
        <v>537</v>
      </c>
      <c r="D87">
        <v>20251231</v>
      </c>
      <c r="E87">
        <v>4</v>
      </c>
      <c r="F87" t="s">
        <v>538</v>
      </c>
      <c r="G87" t="s">
        <v>539</v>
      </c>
      <c r="H87" t="s">
        <v>539</v>
      </c>
      <c r="I87">
        <v>9.5500000000000007</v>
      </c>
    </row>
    <row r="88" spans="1:9" x14ac:dyDescent="0.25">
      <c r="A88" t="s">
        <v>312</v>
      </c>
      <c r="B88" t="s">
        <v>536</v>
      </c>
      <c r="C88" t="s">
        <v>537</v>
      </c>
      <c r="D88">
        <v>20251231</v>
      </c>
      <c r="E88">
        <v>0</v>
      </c>
      <c r="F88" t="s">
        <v>538</v>
      </c>
      <c r="G88" t="s">
        <v>539</v>
      </c>
      <c r="H88" t="s">
        <v>539</v>
      </c>
      <c r="I88">
        <v>8443028000</v>
      </c>
    </row>
    <row r="89" spans="1:9" x14ac:dyDescent="0.25">
      <c r="A89" t="s">
        <v>306</v>
      </c>
      <c r="B89" t="s">
        <v>536</v>
      </c>
      <c r="C89" t="s">
        <v>537</v>
      </c>
      <c r="D89">
        <v>20251231</v>
      </c>
      <c r="E89">
        <v>0</v>
      </c>
      <c r="F89" t="s">
        <v>538</v>
      </c>
      <c r="G89" t="s">
        <v>539</v>
      </c>
      <c r="H89" t="s">
        <v>539</v>
      </c>
      <c r="I89">
        <v>7493579000</v>
      </c>
    </row>
    <row r="90" spans="1:9" x14ac:dyDescent="0.25">
      <c r="A90" t="s">
        <v>306</v>
      </c>
      <c r="B90" t="s">
        <v>544</v>
      </c>
      <c r="C90" t="s">
        <v>537</v>
      </c>
      <c r="D90">
        <v>20251231</v>
      </c>
      <c r="E90">
        <v>0</v>
      </c>
      <c r="F90" t="s">
        <v>538</v>
      </c>
      <c r="G90" t="s">
        <v>539</v>
      </c>
      <c r="H90" t="s">
        <v>539</v>
      </c>
      <c r="I90">
        <v>943318000</v>
      </c>
    </row>
    <row r="91" spans="1:9" x14ac:dyDescent="0.25">
      <c r="A91" t="s">
        <v>306</v>
      </c>
      <c r="B91" t="s">
        <v>542</v>
      </c>
      <c r="C91" t="s">
        <v>537</v>
      </c>
      <c r="D91">
        <v>20251231</v>
      </c>
      <c r="E91">
        <v>4</v>
      </c>
      <c r="F91" t="s">
        <v>538</v>
      </c>
      <c r="G91" t="s">
        <v>539</v>
      </c>
      <c r="H91" t="s">
        <v>539</v>
      </c>
      <c r="I91">
        <v>3.16</v>
      </c>
    </row>
    <row r="92" spans="1:9" x14ac:dyDescent="0.25">
      <c r="A92" t="s">
        <v>318</v>
      </c>
      <c r="B92" t="s">
        <v>543</v>
      </c>
      <c r="C92" t="s">
        <v>537</v>
      </c>
      <c r="D92">
        <v>20251231</v>
      </c>
      <c r="E92">
        <v>4</v>
      </c>
      <c r="F92" t="s">
        <v>538</v>
      </c>
      <c r="G92" t="s">
        <v>539</v>
      </c>
      <c r="H92" t="s">
        <v>539</v>
      </c>
      <c r="I92">
        <v>391609000</v>
      </c>
    </row>
    <row r="93" spans="1:9" x14ac:dyDescent="0.25">
      <c r="A93" t="s">
        <v>320</v>
      </c>
      <c r="B93" t="s">
        <v>542</v>
      </c>
      <c r="C93" t="s">
        <v>546</v>
      </c>
      <c r="D93">
        <v>20251231</v>
      </c>
      <c r="E93">
        <v>4</v>
      </c>
      <c r="F93" t="s">
        <v>538</v>
      </c>
      <c r="G93" t="s">
        <v>539</v>
      </c>
      <c r="H93" t="s">
        <v>539</v>
      </c>
      <c r="I93">
        <v>2.88</v>
      </c>
    </row>
    <row r="94" spans="1:9" x14ac:dyDescent="0.25">
      <c r="A94" t="s">
        <v>310</v>
      </c>
      <c r="B94" t="s">
        <v>540</v>
      </c>
      <c r="C94" t="s">
        <v>537</v>
      </c>
      <c r="D94">
        <v>20251231</v>
      </c>
      <c r="E94">
        <v>0</v>
      </c>
      <c r="F94" t="s">
        <v>538</v>
      </c>
      <c r="G94" t="s">
        <v>539</v>
      </c>
      <c r="H94" t="s">
        <v>539</v>
      </c>
      <c r="I94">
        <v>18104736000</v>
      </c>
    </row>
    <row r="95" spans="1:9" x14ac:dyDescent="0.25">
      <c r="A95" t="s">
        <v>310</v>
      </c>
      <c r="B95" t="s">
        <v>541</v>
      </c>
      <c r="C95" t="s">
        <v>537</v>
      </c>
      <c r="D95">
        <v>20251231</v>
      </c>
      <c r="E95">
        <v>4</v>
      </c>
      <c r="F95" t="s">
        <v>538</v>
      </c>
      <c r="G95" t="s">
        <v>539</v>
      </c>
      <c r="H95" t="s">
        <v>539</v>
      </c>
      <c r="I95">
        <v>893860000</v>
      </c>
    </row>
    <row r="96" spans="1:9" x14ac:dyDescent="0.25">
      <c r="A96" t="s">
        <v>310</v>
      </c>
      <c r="B96" t="s">
        <v>536</v>
      </c>
      <c r="C96" t="s">
        <v>537</v>
      </c>
      <c r="D96">
        <v>20251231</v>
      </c>
      <c r="E96">
        <v>0</v>
      </c>
      <c r="F96" t="s">
        <v>538</v>
      </c>
      <c r="G96" t="s">
        <v>539</v>
      </c>
      <c r="H96" t="s">
        <v>539</v>
      </c>
      <c r="I96">
        <v>15635754000</v>
      </c>
    </row>
    <row r="97" spans="1:9" x14ac:dyDescent="0.25">
      <c r="A97" t="s">
        <v>10</v>
      </c>
      <c r="B97" t="s">
        <v>542</v>
      </c>
      <c r="C97" t="s">
        <v>537</v>
      </c>
      <c r="D97">
        <v>20251231</v>
      </c>
      <c r="E97">
        <v>4</v>
      </c>
      <c r="F97" t="s">
        <v>538</v>
      </c>
      <c r="G97" t="s">
        <v>539</v>
      </c>
      <c r="H97" t="s">
        <v>539</v>
      </c>
      <c r="I97">
        <v>-3.24</v>
      </c>
    </row>
    <row r="98" spans="1:9" x14ac:dyDescent="0.25">
      <c r="A98" t="s">
        <v>332</v>
      </c>
      <c r="B98" t="s">
        <v>542</v>
      </c>
      <c r="C98" t="s">
        <v>537</v>
      </c>
      <c r="D98">
        <v>20251231</v>
      </c>
      <c r="E98">
        <v>4</v>
      </c>
      <c r="F98" t="s">
        <v>538</v>
      </c>
      <c r="G98" t="s">
        <v>539</v>
      </c>
      <c r="H98" t="s">
        <v>539</v>
      </c>
      <c r="I98">
        <v>16.600000000000001</v>
      </c>
    </row>
    <row r="99" spans="1:9" x14ac:dyDescent="0.25">
      <c r="A99" t="s">
        <v>334</v>
      </c>
      <c r="B99" t="s">
        <v>542</v>
      </c>
      <c r="C99" t="s">
        <v>537</v>
      </c>
      <c r="D99">
        <v>20251231</v>
      </c>
      <c r="E99">
        <v>4</v>
      </c>
      <c r="F99" t="s">
        <v>538</v>
      </c>
      <c r="G99" t="s">
        <v>539</v>
      </c>
      <c r="H99" t="s">
        <v>539</v>
      </c>
      <c r="I99">
        <v>1.02</v>
      </c>
    </row>
    <row r="100" spans="1:9" x14ac:dyDescent="0.25">
      <c r="A100" t="s">
        <v>336</v>
      </c>
      <c r="B100" t="s">
        <v>544</v>
      </c>
      <c r="C100" t="s">
        <v>537</v>
      </c>
      <c r="D100">
        <v>20251231</v>
      </c>
      <c r="E100">
        <v>0</v>
      </c>
      <c r="F100" t="s">
        <v>538</v>
      </c>
      <c r="G100" t="s">
        <v>539</v>
      </c>
      <c r="H100" t="s">
        <v>539</v>
      </c>
      <c r="I100">
        <v>1162325000</v>
      </c>
    </row>
    <row r="101" spans="1:9" x14ac:dyDescent="0.25">
      <c r="A101" t="s">
        <v>16</v>
      </c>
      <c r="B101" t="s">
        <v>541</v>
      </c>
      <c r="C101" t="s">
        <v>537</v>
      </c>
      <c r="D101">
        <v>20251231</v>
      </c>
      <c r="E101">
        <v>4</v>
      </c>
      <c r="F101" t="s">
        <v>538</v>
      </c>
      <c r="G101" t="s">
        <v>539</v>
      </c>
      <c r="H101" t="s">
        <v>539</v>
      </c>
      <c r="I101">
        <v>305588000</v>
      </c>
    </row>
    <row r="102" spans="1:9" x14ac:dyDescent="0.25">
      <c r="A102" t="s">
        <v>18</v>
      </c>
      <c r="B102" t="s">
        <v>543</v>
      </c>
      <c r="C102" t="s">
        <v>537</v>
      </c>
      <c r="D102">
        <v>20251231</v>
      </c>
      <c r="E102">
        <v>4</v>
      </c>
      <c r="F102" t="s">
        <v>538</v>
      </c>
      <c r="G102" t="s">
        <v>539</v>
      </c>
      <c r="H102" t="s">
        <v>539</v>
      </c>
      <c r="I102">
        <v>43953000</v>
      </c>
    </row>
    <row r="103" spans="1:9" x14ac:dyDescent="0.25">
      <c r="A103" t="s">
        <v>340</v>
      </c>
      <c r="B103" t="s">
        <v>544</v>
      </c>
      <c r="C103" t="s">
        <v>537</v>
      </c>
      <c r="D103">
        <v>20251231</v>
      </c>
      <c r="E103">
        <v>0</v>
      </c>
      <c r="F103" t="s">
        <v>538</v>
      </c>
      <c r="G103" t="s">
        <v>539</v>
      </c>
      <c r="H103" t="s">
        <v>539</v>
      </c>
      <c r="I103">
        <v>1463877000</v>
      </c>
    </row>
    <row r="104" spans="1:9" x14ac:dyDescent="0.25">
      <c r="A104" t="s">
        <v>310</v>
      </c>
      <c r="B104" t="s">
        <v>543</v>
      </c>
      <c r="C104" t="s">
        <v>537</v>
      </c>
      <c r="D104">
        <v>20251231</v>
      </c>
      <c r="E104">
        <v>4</v>
      </c>
      <c r="F104" t="s">
        <v>538</v>
      </c>
      <c r="G104" t="s">
        <v>539</v>
      </c>
      <c r="H104" t="s">
        <v>539</v>
      </c>
      <c r="I104">
        <v>135262000</v>
      </c>
    </row>
    <row r="105" spans="1:9" x14ac:dyDescent="0.25">
      <c r="A105" t="s">
        <v>310</v>
      </c>
      <c r="B105" t="s">
        <v>544</v>
      </c>
      <c r="C105" t="s">
        <v>537</v>
      </c>
      <c r="D105">
        <v>20251231</v>
      </c>
      <c r="E105">
        <v>0</v>
      </c>
      <c r="F105" t="s">
        <v>538</v>
      </c>
      <c r="G105" t="s">
        <v>539</v>
      </c>
      <c r="H105" t="s">
        <v>539</v>
      </c>
      <c r="I105">
        <v>2468982000</v>
      </c>
    </row>
    <row r="106" spans="1:9" x14ac:dyDescent="0.25">
      <c r="A106" t="s">
        <v>342</v>
      </c>
      <c r="B106" t="s">
        <v>540</v>
      </c>
      <c r="C106" t="s">
        <v>537</v>
      </c>
      <c r="D106">
        <v>20251231</v>
      </c>
      <c r="E106">
        <v>0</v>
      </c>
      <c r="F106" t="s">
        <v>538</v>
      </c>
      <c r="G106" t="s">
        <v>539</v>
      </c>
      <c r="H106" t="s">
        <v>539</v>
      </c>
      <c r="I106">
        <v>6990022000</v>
      </c>
    </row>
    <row r="107" spans="1:9" x14ac:dyDescent="0.25">
      <c r="A107" t="s">
        <v>342</v>
      </c>
      <c r="B107" t="s">
        <v>541</v>
      </c>
      <c r="C107" t="s">
        <v>537</v>
      </c>
      <c r="D107">
        <v>20251231</v>
      </c>
      <c r="E107">
        <v>4</v>
      </c>
      <c r="F107" t="s">
        <v>538</v>
      </c>
      <c r="G107" t="s">
        <v>539</v>
      </c>
      <c r="H107" t="s">
        <v>539</v>
      </c>
      <c r="I107">
        <v>373735000</v>
      </c>
    </row>
    <row r="108" spans="1:9" x14ac:dyDescent="0.25">
      <c r="A108" t="s">
        <v>342</v>
      </c>
      <c r="B108" t="s">
        <v>536</v>
      </c>
      <c r="C108" t="s">
        <v>537</v>
      </c>
      <c r="D108">
        <v>20251231</v>
      </c>
      <c r="E108">
        <v>0</v>
      </c>
      <c r="F108" t="s">
        <v>538</v>
      </c>
      <c r="G108" t="s">
        <v>539</v>
      </c>
      <c r="H108" t="s">
        <v>539</v>
      </c>
      <c r="I108">
        <v>6227530000</v>
      </c>
    </row>
    <row r="109" spans="1:9" x14ac:dyDescent="0.25">
      <c r="A109" t="s">
        <v>316</v>
      </c>
      <c r="B109" t="s">
        <v>544</v>
      </c>
      <c r="C109" t="s">
        <v>537</v>
      </c>
      <c r="D109">
        <v>20251231</v>
      </c>
      <c r="E109">
        <v>0</v>
      </c>
      <c r="F109" t="s">
        <v>538</v>
      </c>
      <c r="G109" t="s">
        <v>539</v>
      </c>
      <c r="H109" t="s">
        <v>539</v>
      </c>
      <c r="I109">
        <v>1328001000</v>
      </c>
    </row>
    <row r="110" spans="1:9" x14ac:dyDescent="0.25">
      <c r="A110" t="s">
        <v>318</v>
      </c>
      <c r="B110" t="s">
        <v>541</v>
      </c>
      <c r="C110" t="s">
        <v>537</v>
      </c>
      <c r="D110">
        <v>20251231</v>
      </c>
      <c r="E110">
        <v>4</v>
      </c>
      <c r="F110" t="s">
        <v>538</v>
      </c>
      <c r="G110" t="s">
        <v>539</v>
      </c>
      <c r="H110" t="s">
        <v>539</v>
      </c>
      <c r="I110">
        <v>1616874000</v>
      </c>
    </row>
    <row r="111" spans="1:9" x14ac:dyDescent="0.25">
      <c r="A111" t="s">
        <v>316</v>
      </c>
      <c r="B111" t="s">
        <v>543</v>
      </c>
      <c r="C111" t="s">
        <v>537</v>
      </c>
      <c r="D111">
        <v>20251231</v>
      </c>
      <c r="E111">
        <v>4</v>
      </c>
      <c r="F111" t="s">
        <v>538</v>
      </c>
      <c r="G111" t="s">
        <v>539</v>
      </c>
      <c r="H111" t="s">
        <v>539</v>
      </c>
      <c r="I111">
        <v>121558000</v>
      </c>
    </row>
    <row r="112" spans="1:9" x14ac:dyDescent="0.25">
      <c r="A112" t="s">
        <v>20</v>
      </c>
      <c r="B112" t="s">
        <v>543</v>
      </c>
      <c r="C112" t="s">
        <v>537</v>
      </c>
      <c r="D112">
        <v>20251231</v>
      </c>
      <c r="E112">
        <v>4</v>
      </c>
      <c r="F112" t="s">
        <v>538</v>
      </c>
      <c r="G112" t="s">
        <v>539</v>
      </c>
      <c r="H112" t="s">
        <v>539</v>
      </c>
      <c r="I112">
        <v>21226000</v>
      </c>
    </row>
    <row r="113" spans="1:9" x14ac:dyDescent="0.25">
      <c r="A113" t="s">
        <v>346</v>
      </c>
      <c r="B113" t="s">
        <v>540</v>
      </c>
      <c r="C113" t="s">
        <v>537</v>
      </c>
      <c r="D113">
        <v>20251231</v>
      </c>
      <c r="E113">
        <v>0</v>
      </c>
      <c r="F113" t="s">
        <v>538</v>
      </c>
      <c r="G113" t="s">
        <v>539</v>
      </c>
      <c r="H113" t="s">
        <v>539</v>
      </c>
      <c r="I113">
        <v>6722018000</v>
      </c>
    </row>
    <row r="114" spans="1:9" x14ac:dyDescent="0.25">
      <c r="A114" t="s">
        <v>346</v>
      </c>
      <c r="B114" t="s">
        <v>541</v>
      </c>
      <c r="C114" t="s">
        <v>537</v>
      </c>
      <c r="D114">
        <v>20251231</v>
      </c>
      <c r="E114">
        <v>4</v>
      </c>
      <c r="F114" t="s">
        <v>538</v>
      </c>
      <c r="G114" t="s">
        <v>539</v>
      </c>
      <c r="H114" t="s">
        <v>539</v>
      </c>
      <c r="I114">
        <v>321216000</v>
      </c>
    </row>
    <row r="115" spans="1:9" x14ac:dyDescent="0.25">
      <c r="A115" t="s">
        <v>290</v>
      </c>
      <c r="B115" t="s">
        <v>544</v>
      </c>
      <c r="C115" t="s">
        <v>537</v>
      </c>
      <c r="D115">
        <v>20251231</v>
      </c>
      <c r="E115">
        <v>0</v>
      </c>
      <c r="F115" t="s">
        <v>538</v>
      </c>
      <c r="G115" t="s">
        <v>539</v>
      </c>
      <c r="H115" t="s">
        <v>539</v>
      </c>
      <c r="I115">
        <v>1851212000</v>
      </c>
    </row>
    <row r="116" spans="1:9" x14ac:dyDescent="0.25">
      <c r="A116" t="s">
        <v>320</v>
      </c>
      <c r="B116" t="s">
        <v>536</v>
      </c>
      <c r="C116" t="s">
        <v>546</v>
      </c>
      <c r="D116">
        <v>20251231</v>
      </c>
      <c r="E116">
        <v>0</v>
      </c>
      <c r="F116" t="s">
        <v>538</v>
      </c>
      <c r="G116" t="s">
        <v>539</v>
      </c>
      <c r="H116" t="s">
        <v>539</v>
      </c>
      <c r="I116">
        <v>6816660000</v>
      </c>
    </row>
    <row r="117" spans="1:9" x14ac:dyDescent="0.25">
      <c r="A117" t="s">
        <v>320</v>
      </c>
      <c r="B117" t="s">
        <v>541</v>
      </c>
      <c r="C117" t="s">
        <v>546</v>
      </c>
      <c r="D117">
        <v>20251231</v>
      </c>
      <c r="E117">
        <v>4</v>
      </c>
      <c r="F117" t="s">
        <v>538</v>
      </c>
      <c r="G117" t="s">
        <v>539</v>
      </c>
      <c r="H117" t="s">
        <v>539</v>
      </c>
      <c r="I117">
        <v>314162000</v>
      </c>
    </row>
    <row r="118" spans="1:9" x14ac:dyDescent="0.25">
      <c r="A118" t="s">
        <v>320</v>
      </c>
      <c r="B118" t="s">
        <v>543</v>
      </c>
      <c r="C118" t="s">
        <v>546</v>
      </c>
      <c r="D118">
        <v>20251231</v>
      </c>
      <c r="E118">
        <v>4</v>
      </c>
      <c r="F118" t="s">
        <v>538</v>
      </c>
      <c r="G118" t="s">
        <v>539</v>
      </c>
      <c r="H118" t="s">
        <v>539</v>
      </c>
      <c r="I118">
        <v>77480000</v>
      </c>
    </row>
    <row r="119" spans="1:9" x14ac:dyDescent="0.25">
      <c r="A119" t="s">
        <v>308</v>
      </c>
      <c r="B119" t="s">
        <v>541</v>
      </c>
      <c r="C119" t="s">
        <v>537</v>
      </c>
      <c r="D119">
        <v>20251231</v>
      </c>
      <c r="E119">
        <v>4</v>
      </c>
      <c r="F119" t="s">
        <v>538</v>
      </c>
      <c r="G119" t="s">
        <v>539</v>
      </c>
      <c r="H119" t="s">
        <v>539</v>
      </c>
      <c r="I119">
        <v>4184000000</v>
      </c>
    </row>
    <row r="120" spans="1:9" x14ac:dyDescent="0.25">
      <c r="A120" t="s">
        <v>322</v>
      </c>
      <c r="B120" t="s">
        <v>540</v>
      </c>
      <c r="C120" t="s">
        <v>537</v>
      </c>
      <c r="D120">
        <v>20251231</v>
      </c>
      <c r="E120">
        <v>0</v>
      </c>
      <c r="F120" t="s">
        <v>538</v>
      </c>
      <c r="G120" t="s">
        <v>539</v>
      </c>
      <c r="H120" t="s">
        <v>539</v>
      </c>
      <c r="I120">
        <v>8514590000</v>
      </c>
    </row>
    <row r="121" spans="1:9" x14ac:dyDescent="0.25">
      <c r="A121" t="s">
        <v>322</v>
      </c>
      <c r="B121" t="s">
        <v>536</v>
      </c>
      <c r="C121" t="s">
        <v>537</v>
      </c>
      <c r="D121">
        <v>20251231</v>
      </c>
      <c r="E121">
        <v>0</v>
      </c>
      <c r="F121" t="s">
        <v>538</v>
      </c>
      <c r="G121" t="s">
        <v>539</v>
      </c>
      <c r="H121" t="s">
        <v>539</v>
      </c>
      <c r="I121">
        <v>7666975000</v>
      </c>
    </row>
    <row r="122" spans="1:9" x14ac:dyDescent="0.25">
      <c r="A122" t="s">
        <v>12</v>
      </c>
      <c r="B122" t="s">
        <v>540</v>
      </c>
      <c r="C122" t="s">
        <v>537</v>
      </c>
      <c r="D122">
        <v>20251231</v>
      </c>
      <c r="E122">
        <v>0</v>
      </c>
      <c r="F122" t="s">
        <v>538</v>
      </c>
      <c r="G122" t="s">
        <v>539</v>
      </c>
      <c r="H122" t="s">
        <v>539</v>
      </c>
      <c r="I122">
        <v>1617191000</v>
      </c>
    </row>
    <row r="123" spans="1:9" x14ac:dyDescent="0.25">
      <c r="A123" t="s">
        <v>292</v>
      </c>
      <c r="B123" t="s">
        <v>541</v>
      </c>
      <c r="C123" t="s">
        <v>537</v>
      </c>
      <c r="D123">
        <v>20251231</v>
      </c>
      <c r="E123">
        <v>4</v>
      </c>
      <c r="F123" t="s">
        <v>538</v>
      </c>
      <c r="G123" t="s">
        <v>539</v>
      </c>
      <c r="H123" t="s">
        <v>539</v>
      </c>
      <c r="I123">
        <v>10310000000</v>
      </c>
    </row>
    <row r="124" spans="1:9" x14ac:dyDescent="0.25">
      <c r="A124" t="s">
        <v>324</v>
      </c>
      <c r="B124" t="s">
        <v>543</v>
      </c>
      <c r="C124" t="s">
        <v>537</v>
      </c>
      <c r="D124">
        <v>20251231</v>
      </c>
      <c r="E124">
        <v>4</v>
      </c>
      <c r="F124" t="s">
        <v>538</v>
      </c>
      <c r="G124" t="s">
        <v>539</v>
      </c>
      <c r="H124" t="s">
        <v>539</v>
      </c>
      <c r="I124">
        <v>669257000</v>
      </c>
    </row>
    <row r="125" spans="1:9" x14ac:dyDescent="0.25">
      <c r="A125" t="s">
        <v>326</v>
      </c>
      <c r="B125" t="s">
        <v>536</v>
      </c>
      <c r="C125" t="s">
        <v>537</v>
      </c>
      <c r="D125">
        <v>20251231</v>
      </c>
      <c r="E125">
        <v>0</v>
      </c>
      <c r="F125" t="s">
        <v>538</v>
      </c>
      <c r="G125" t="s">
        <v>539</v>
      </c>
      <c r="H125" t="s">
        <v>539</v>
      </c>
      <c r="I125">
        <v>18360163000</v>
      </c>
    </row>
    <row r="126" spans="1:9" x14ac:dyDescent="0.25">
      <c r="A126" t="s">
        <v>14</v>
      </c>
      <c r="B126" t="s">
        <v>542</v>
      </c>
      <c r="C126" t="s">
        <v>537</v>
      </c>
      <c r="D126">
        <v>20251231</v>
      </c>
      <c r="E126">
        <v>4</v>
      </c>
      <c r="F126" t="s">
        <v>538</v>
      </c>
      <c r="G126" t="s">
        <v>539</v>
      </c>
      <c r="H126" t="s">
        <v>539</v>
      </c>
      <c r="I126">
        <v>1.59</v>
      </c>
    </row>
    <row r="127" spans="1:9" x14ac:dyDescent="0.25">
      <c r="A127" t="s">
        <v>14</v>
      </c>
      <c r="B127" t="s">
        <v>543</v>
      </c>
      <c r="C127" t="s">
        <v>537</v>
      </c>
      <c r="D127">
        <v>20251231</v>
      </c>
      <c r="E127">
        <v>4</v>
      </c>
      <c r="F127" t="s">
        <v>538</v>
      </c>
      <c r="G127" t="s">
        <v>539</v>
      </c>
      <c r="H127" t="s">
        <v>539</v>
      </c>
      <c r="I127">
        <v>28253000</v>
      </c>
    </row>
    <row r="128" spans="1:9" x14ac:dyDescent="0.25">
      <c r="A128" t="s">
        <v>328</v>
      </c>
      <c r="B128" t="s">
        <v>540</v>
      </c>
      <c r="C128" t="s">
        <v>537</v>
      </c>
      <c r="D128">
        <v>20251231</v>
      </c>
      <c r="E128">
        <v>0</v>
      </c>
      <c r="F128" t="s">
        <v>538</v>
      </c>
      <c r="G128" t="s">
        <v>539</v>
      </c>
      <c r="H128" t="s">
        <v>539</v>
      </c>
      <c r="I128">
        <v>19025101000</v>
      </c>
    </row>
    <row r="129" spans="1:9" x14ac:dyDescent="0.25">
      <c r="A129" t="s">
        <v>326</v>
      </c>
      <c r="B129" t="s">
        <v>541</v>
      </c>
      <c r="C129" t="s">
        <v>537</v>
      </c>
      <c r="D129">
        <v>20251231</v>
      </c>
      <c r="E129">
        <v>4</v>
      </c>
      <c r="F129" t="s">
        <v>538</v>
      </c>
      <c r="G129" t="s">
        <v>539</v>
      </c>
      <c r="H129" t="s">
        <v>539</v>
      </c>
      <c r="I129">
        <v>1001904000</v>
      </c>
    </row>
    <row r="130" spans="1:9" x14ac:dyDescent="0.25">
      <c r="A130" t="s">
        <v>24</v>
      </c>
      <c r="B130" t="s">
        <v>536</v>
      </c>
      <c r="C130" t="s">
        <v>537</v>
      </c>
      <c r="D130">
        <v>20251231</v>
      </c>
      <c r="E130">
        <v>0</v>
      </c>
      <c r="F130" t="s">
        <v>538</v>
      </c>
      <c r="G130" t="s">
        <v>539</v>
      </c>
      <c r="H130" t="s">
        <v>539</v>
      </c>
      <c r="I130">
        <v>7524308000</v>
      </c>
    </row>
    <row r="131" spans="1:9" x14ac:dyDescent="0.25">
      <c r="A131" t="s">
        <v>348</v>
      </c>
      <c r="B131" t="s">
        <v>540</v>
      </c>
      <c r="C131" t="s">
        <v>537</v>
      </c>
      <c r="D131">
        <v>20251231</v>
      </c>
      <c r="E131">
        <v>0</v>
      </c>
      <c r="F131" t="s">
        <v>538</v>
      </c>
      <c r="G131" t="s">
        <v>539</v>
      </c>
      <c r="H131" t="s">
        <v>539</v>
      </c>
      <c r="I131">
        <v>6621694000</v>
      </c>
    </row>
    <row r="132" spans="1:9" x14ac:dyDescent="0.25">
      <c r="A132" t="s">
        <v>348</v>
      </c>
      <c r="B132" t="s">
        <v>542</v>
      </c>
      <c r="C132" t="s">
        <v>537</v>
      </c>
      <c r="D132">
        <v>20251231</v>
      </c>
      <c r="E132">
        <v>4</v>
      </c>
      <c r="F132" t="s">
        <v>538</v>
      </c>
      <c r="G132" t="s">
        <v>539</v>
      </c>
      <c r="H132" t="s">
        <v>539</v>
      </c>
      <c r="I132">
        <v>2.72</v>
      </c>
    </row>
    <row r="133" spans="1:9" x14ac:dyDescent="0.25">
      <c r="A133" t="s">
        <v>14</v>
      </c>
      <c r="B133" t="s">
        <v>536</v>
      </c>
      <c r="C133" t="s">
        <v>537</v>
      </c>
      <c r="D133">
        <v>20251231</v>
      </c>
      <c r="E133">
        <v>0</v>
      </c>
      <c r="F133" t="s">
        <v>538</v>
      </c>
      <c r="G133" t="s">
        <v>539</v>
      </c>
      <c r="H133" t="s">
        <v>539</v>
      </c>
      <c r="I133">
        <v>3359481000</v>
      </c>
    </row>
    <row r="134" spans="1:9" x14ac:dyDescent="0.25">
      <c r="A134" t="s">
        <v>26</v>
      </c>
      <c r="B134" t="s">
        <v>544</v>
      </c>
      <c r="C134" t="s">
        <v>537</v>
      </c>
      <c r="D134">
        <v>20251231</v>
      </c>
      <c r="E134">
        <v>0</v>
      </c>
      <c r="F134" t="s">
        <v>538</v>
      </c>
      <c r="G134" t="s">
        <v>539</v>
      </c>
      <c r="H134" t="s">
        <v>539</v>
      </c>
      <c r="I134">
        <v>113060000</v>
      </c>
    </row>
    <row r="135" spans="1:9" x14ac:dyDescent="0.25">
      <c r="A135" t="s">
        <v>330</v>
      </c>
      <c r="B135" t="s">
        <v>542</v>
      </c>
      <c r="C135" t="s">
        <v>537</v>
      </c>
      <c r="D135">
        <v>20251231</v>
      </c>
      <c r="E135">
        <v>4</v>
      </c>
      <c r="F135" t="s">
        <v>538</v>
      </c>
      <c r="G135" t="s">
        <v>539</v>
      </c>
      <c r="H135" t="s">
        <v>539</v>
      </c>
      <c r="I135">
        <v>1.48</v>
      </c>
    </row>
    <row r="136" spans="1:9" x14ac:dyDescent="0.25">
      <c r="A136" t="s">
        <v>28</v>
      </c>
      <c r="B136" t="s">
        <v>543</v>
      </c>
      <c r="C136" t="s">
        <v>537</v>
      </c>
      <c r="D136">
        <v>20251231</v>
      </c>
      <c r="E136">
        <v>4</v>
      </c>
      <c r="F136" t="s">
        <v>538</v>
      </c>
      <c r="G136" t="s">
        <v>539</v>
      </c>
      <c r="H136" t="s">
        <v>539</v>
      </c>
      <c r="I136">
        <v>65160000</v>
      </c>
    </row>
    <row r="137" spans="1:9" x14ac:dyDescent="0.25">
      <c r="A137" t="s">
        <v>338</v>
      </c>
      <c r="B137" t="s">
        <v>543</v>
      </c>
      <c r="C137" t="s">
        <v>537</v>
      </c>
      <c r="D137">
        <v>20251231</v>
      </c>
      <c r="E137">
        <v>4</v>
      </c>
      <c r="F137" t="s">
        <v>538</v>
      </c>
      <c r="G137" t="s">
        <v>539</v>
      </c>
      <c r="H137" t="s">
        <v>539</v>
      </c>
      <c r="I137">
        <v>181272000</v>
      </c>
    </row>
    <row r="138" spans="1:9" x14ac:dyDescent="0.25">
      <c r="A138" t="s">
        <v>316</v>
      </c>
      <c r="B138" t="s">
        <v>536</v>
      </c>
      <c r="C138" t="s">
        <v>537</v>
      </c>
      <c r="D138">
        <v>20251231</v>
      </c>
      <c r="E138">
        <v>0</v>
      </c>
      <c r="F138" t="s">
        <v>538</v>
      </c>
      <c r="G138" t="s">
        <v>539</v>
      </c>
      <c r="H138" t="s">
        <v>539</v>
      </c>
      <c r="I138">
        <v>8494062000</v>
      </c>
    </row>
    <row r="139" spans="1:9" x14ac:dyDescent="0.25">
      <c r="A139" t="s">
        <v>18</v>
      </c>
      <c r="B139" t="s">
        <v>544</v>
      </c>
      <c r="C139" t="s">
        <v>537</v>
      </c>
      <c r="D139">
        <v>20251231</v>
      </c>
      <c r="E139">
        <v>0</v>
      </c>
      <c r="F139" t="s">
        <v>538</v>
      </c>
      <c r="G139" t="s">
        <v>539</v>
      </c>
      <c r="H139" t="s">
        <v>539</v>
      </c>
      <c r="I139">
        <v>431852000</v>
      </c>
    </row>
    <row r="140" spans="1:9" x14ac:dyDescent="0.25">
      <c r="A140" t="s">
        <v>332</v>
      </c>
      <c r="B140" t="s">
        <v>544</v>
      </c>
      <c r="C140" t="s">
        <v>537</v>
      </c>
      <c r="D140">
        <v>20251231</v>
      </c>
      <c r="E140">
        <v>0</v>
      </c>
      <c r="F140" t="s">
        <v>538</v>
      </c>
      <c r="G140" t="s">
        <v>539</v>
      </c>
      <c r="H140" t="s">
        <v>539</v>
      </c>
      <c r="I140">
        <v>60585000000</v>
      </c>
    </row>
    <row r="141" spans="1:9" x14ac:dyDescent="0.25">
      <c r="A141" t="s">
        <v>340</v>
      </c>
      <c r="B141" t="s">
        <v>541</v>
      </c>
      <c r="C141" t="s">
        <v>537</v>
      </c>
      <c r="D141">
        <v>20251231</v>
      </c>
      <c r="E141">
        <v>4</v>
      </c>
      <c r="F141" t="s">
        <v>538</v>
      </c>
      <c r="G141" t="s">
        <v>539</v>
      </c>
      <c r="H141" t="s">
        <v>539</v>
      </c>
      <c r="I141">
        <v>516490000</v>
      </c>
    </row>
    <row r="142" spans="1:9" x14ac:dyDescent="0.25">
      <c r="A142" t="s">
        <v>340</v>
      </c>
      <c r="B142" t="s">
        <v>543</v>
      </c>
      <c r="C142" t="s">
        <v>537</v>
      </c>
      <c r="D142">
        <v>20251231</v>
      </c>
      <c r="E142">
        <v>4</v>
      </c>
      <c r="F142" t="s">
        <v>538</v>
      </c>
      <c r="G142" t="s">
        <v>539</v>
      </c>
      <c r="H142" t="s">
        <v>539</v>
      </c>
      <c r="I142">
        <v>134230000</v>
      </c>
    </row>
    <row r="143" spans="1:9" x14ac:dyDescent="0.25">
      <c r="A143" t="s">
        <v>318</v>
      </c>
      <c r="B143" t="s">
        <v>542</v>
      </c>
      <c r="C143" t="s">
        <v>537</v>
      </c>
      <c r="D143">
        <v>20251231</v>
      </c>
      <c r="E143">
        <v>4</v>
      </c>
      <c r="F143" t="s">
        <v>538</v>
      </c>
      <c r="G143" t="s">
        <v>539</v>
      </c>
      <c r="H143" t="s">
        <v>539</v>
      </c>
      <c r="I143">
        <v>2.1</v>
      </c>
    </row>
    <row r="144" spans="1:9" x14ac:dyDescent="0.25">
      <c r="A144" t="s">
        <v>336</v>
      </c>
      <c r="B144" t="s">
        <v>542</v>
      </c>
      <c r="C144" t="s">
        <v>537</v>
      </c>
      <c r="D144">
        <v>20251231</v>
      </c>
      <c r="E144">
        <v>4</v>
      </c>
      <c r="F144" t="s">
        <v>538</v>
      </c>
      <c r="G144" t="s">
        <v>539</v>
      </c>
      <c r="H144" t="s">
        <v>539</v>
      </c>
      <c r="I144">
        <v>3.06</v>
      </c>
    </row>
    <row r="145" spans="1:9" x14ac:dyDescent="0.25">
      <c r="A145" t="s">
        <v>338</v>
      </c>
      <c r="B145" t="s">
        <v>541</v>
      </c>
      <c r="C145" t="s">
        <v>537</v>
      </c>
      <c r="D145">
        <v>20251231</v>
      </c>
      <c r="E145">
        <v>4</v>
      </c>
      <c r="F145" t="s">
        <v>538</v>
      </c>
      <c r="G145" t="s">
        <v>539</v>
      </c>
      <c r="H145" t="s">
        <v>539</v>
      </c>
      <c r="I145">
        <v>1262259000</v>
      </c>
    </row>
    <row r="146" spans="1:9" x14ac:dyDescent="0.25">
      <c r="A146" t="s">
        <v>18</v>
      </c>
      <c r="B146" t="s">
        <v>536</v>
      </c>
      <c r="C146" t="s">
        <v>537</v>
      </c>
      <c r="D146">
        <v>20251231</v>
      </c>
      <c r="E146">
        <v>0</v>
      </c>
      <c r="F146" t="s">
        <v>538</v>
      </c>
      <c r="G146" t="s">
        <v>539</v>
      </c>
      <c r="H146" t="s">
        <v>539</v>
      </c>
      <c r="I146">
        <v>4014010000</v>
      </c>
    </row>
    <row r="147" spans="1:9" x14ac:dyDescent="0.25">
      <c r="A147" t="s">
        <v>322</v>
      </c>
      <c r="B147" t="s">
        <v>542</v>
      </c>
      <c r="C147" t="s">
        <v>537</v>
      </c>
      <c r="D147">
        <v>20251231</v>
      </c>
      <c r="E147">
        <v>4</v>
      </c>
      <c r="F147" t="s">
        <v>538</v>
      </c>
      <c r="G147" t="s">
        <v>539</v>
      </c>
      <c r="H147" t="s">
        <v>539</v>
      </c>
      <c r="I147">
        <v>2.2999999999999998</v>
      </c>
    </row>
    <row r="148" spans="1:9" x14ac:dyDescent="0.25">
      <c r="A148" t="s">
        <v>322</v>
      </c>
      <c r="B148" t="s">
        <v>543</v>
      </c>
      <c r="C148" t="s">
        <v>537</v>
      </c>
      <c r="D148">
        <v>20251231</v>
      </c>
      <c r="E148">
        <v>4</v>
      </c>
      <c r="F148" t="s">
        <v>538</v>
      </c>
      <c r="G148" t="s">
        <v>539</v>
      </c>
      <c r="H148" t="s">
        <v>539</v>
      </c>
      <c r="I148">
        <v>69220000</v>
      </c>
    </row>
    <row r="149" spans="1:9" x14ac:dyDescent="0.25">
      <c r="A149" t="s">
        <v>10</v>
      </c>
      <c r="B149" t="s">
        <v>540</v>
      </c>
      <c r="C149" t="s">
        <v>537</v>
      </c>
      <c r="D149">
        <v>20251231</v>
      </c>
      <c r="E149">
        <v>0</v>
      </c>
      <c r="F149" t="s">
        <v>538</v>
      </c>
      <c r="G149" t="s">
        <v>539</v>
      </c>
      <c r="H149" t="s">
        <v>539</v>
      </c>
      <c r="I149">
        <v>6436611000</v>
      </c>
    </row>
    <row r="150" spans="1:9" x14ac:dyDescent="0.25">
      <c r="A150" t="s">
        <v>344</v>
      </c>
      <c r="B150" t="s">
        <v>540</v>
      </c>
      <c r="C150" t="s">
        <v>546</v>
      </c>
      <c r="D150">
        <v>20251231</v>
      </c>
      <c r="E150">
        <v>0</v>
      </c>
      <c r="F150" t="s">
        <v>538</v>
      </c>
      <c r="G150" t="s">
        <v>539</v>
      </c>
      <c r="H150" t="s">
        <v>539</v>
      </c>
      <c r="I150">
        <v>4385765000</v>
      </c>
    </row>
    <row r="151" spans="1:9" x14ac:dyDescent="0.25">
      <c r="A151" t="s">
        <v>344</v>
      </c>
      <c r="B151" t="s">
        <v>541</v>
      </c>
      <c r="C151" t="s">
        <v>546</v>
      </c>
      <c r="D151">
        <v>20251231</v>
      </c>
      <c r="E151">
        <v>4</v>
      </c>
      <c r="F151" t="s">
        <v>538</v>
      </c>
      <c r="G151" t="s">
        <v>539</v>
      </c>
      <c r="H151" t="s">
        <v>539</v>
      </c>
      <c r="I151">
        <v>204387000</v>
      </c>
    </row>
    <row r="152" spans="1:9" x14ac:dyDescent="0.25">
      <c r="A152" t="s">
        <v>12</v>
      </c>
      <c r="B152" t="s">
        <v>541</v>
      </c>
      <c r="C152" t="s">
        <v>537</v>
      </c>
      <c r="D152">
        <v>20251231</v>
      </c>
      <c r="E152">
        <v>4</v>
      </c>
      <c r="F152" t="s">
        <v>538</v>
      </c>
      <c r="G152" t="s">
        <v>539</v>
      </c>
      <c r="H152" t="s">
        <v>539</v>
      </c>
      <c r="I152">
        <v>75788000</v>
      </c>
    </row>
    <row r="153" spans="1:9" x14ac:dyDescent="0.25">
      <c r="A153" t="s">
        <v>324</v>
      </c>
      <c r="B153" t="s">
        <v>542</v>
      </c>
      <c r="C153" t="s">
        <v>537</v>
      </c>
      <c r="D153">
        <v>20251231</v>
      </c>
      <c r="E153">
        <v>4</v>
      </c>
      <c r="F153" t="s">
        <v>538</v>
      </c>
      <c r="G153" t="s">
        <v>539</v>
      </c>
      <c r="H153" t="s">
        <v>539</v>
      </c>
      <c r="I153">
        <v>1.8</v>
      </c>
    </row>
    <row r="154" spans="1:9" x14ac:dyDescent="0.25">
      <c r="A154" t="s">
        <v>346</v>
      </c>
      <c r="B154" t="s">
        <v>536</v>
      </c>
      <c r="C154" t="s">
        <v>537</v>
      </c>
      <c r="D154">
        <v>20251231</v>
      </c>
      <c r="E154">
        <v>0</v>
      </c>
      <c r="F154" t="s">
        <v>538</v>
      </c>
      <c r="G154" t="s">
        <v>539</v>
      </c>
      <c r="H154" t="s">
        <v>539</v>
      </c>
      <c r="I154">
        <v>5912338000</v>
      </c>
    </row>
    <row r="155" spans="1:9" x14ac:dyDescent="0.25">
      <c r="A155" t="s">
        <v>324</v>
      </c>
      <c r="B155" t="s">
        <v>536</v>
      </c>
      <c r="C155" t="s">
        <v>537</v>
      </c>
      <c r="D155">
        <v>20251231</v>
      </c>
      <c r="E155">
        <v>0</v>
      </c>
      <c r="F155" t="s">
        <v>538</v>
      </c>
      <c r="G155" t="s">
        <v>539</v>
      </c>
      <c r="H155" t="s">
        <v>539</v>
      </c>
      <c r="I155">
        <v>63657179000</v>
      </c>
    </row>
    <row r="156" spans="1:9" x14ac:dyDescent="0.25">
      <c r="A156" t="s">
        <v>342</v>
      </c>
      <c r="B156" t="s">
        <v>543</v>
      </c>
      <c r="C156" t="s">
        <v>537</v>
      </c>
      <c r="D156">
        <v>20251231</v>
      </c>
      <c r="E156">
        <v>4</v>
      </c>
      <c r="F156" t="s">
        <v>538</v>
      </c>
      <c r="G156" t="s">
        <v>539</v>
      </c>
      <c r="H156" t="s">
        <v>539</v>
      </c>
      <c r="I156">
        <v>103361000</v>
      </c>
    </row>
    <row r="157" spans="1:9" x14ac:dyDescent="0.25">
      <c r="A157" t="s">
        <v>342</v>
      </c>
      <c r="B157" t="s">
        <v>544</v>
      </c>
      <c r="C157" t="s">
        <v>537</v>
      </c>
      <c r="D157">
        <v>20251231</v>
      </c>
      <c r="E157">
        <v>0</v>
      </c>
      <c r="F157" t="s">
        <v>538</v>
      </c>
      <c r="G157" t="s">
        <v>539</v>
      </c>
      <c r="H157" t="s">
        <v>539</v>
      </c>
      <c r="I157">
        <v>762403000</v>
      </c>
    </row>
    <row r="158" spans="1:9" x14ac:dyDescent="0.25">
      <c r="A158" t="s">
        <v>312</v>
      </c>
      <c r="B158" t="s">
        <v>542</v>
      </c>
      <c r="C158" t="s">
        <v>537</v>
      </c>
      <c r="D158">
        <v>20251231</v>
      </c>
      <c r="E158">
        <v>4</v>
      </c>
      <c r="F158" t="s">
        <v>538</v>
      </c>
      <c r="G158" t="s">
        <v>539</v>
      </c>
      <c r="H158" t="s">
        <v>539</v>
      </c>
      <c r="I158">
        <v>3.03</v>
      </c>
    </row>
    <row r="159" spans="1:9" x14ac:dyDescent="0.25">
      <c r="A159" t="s">
        <v>20</v>
      </c>
      <c r="B159" t="s">
        <v>542</v>
      </c>
      <c r="C159" t="s">
        <v>537</v>
      </c>
      <c r="D159">
        <v>20251231</v>
      </c>
      <c r="E159">
        <v>4</v>
      </c>
      <c r="F159" t="s">
        <v>538</v>
      </c>
      <c r="G159" t="s">
        <v>539</v>
      </c>
      <c r="H159" t="s">
        <v>539</v>
      </c>
      <c r="I159">
        <v>4.76</v>
      </c>
    </row>
    <row r="160" spans="1:9" x14ac:dyDescent="0.25">
      <c r="A160" t="s">
        <v>20</v>
      </c>
      <c r="B160" t="s">
        <v>536</v>
      </c>
      <c r="C160" t="s">
        <v>537</v>
      </c>
      <c r="D160">
        <v>20251231</v>
      </c>
      <c r="E160">
        <v>0</v>
      </c>
      <c r="F160" t="s">
        <v>538</v>
      </c>
      <c r="G160" t="s">
        <v>539</v>
      </c>
      <c r="H160" t="s">
        <v>539</v>
      </c>
      <c r="I160">
        <v>2063776000</v>
      </c>
    </row>
    <row r="161" spans="1:9" x14ac:dyDescent="0.25">
      <c r="A161" t="s">
        <v>312</v>
      </c>
      <c r="B161" t="s">
        <v>544</v>
      </c>
      <c r="C161" t="s">
        <v>537</v>
      </c>
      <c r="D161">
        <v>20251231</v>
      </c>
      <c r="E161">
        <v>0</v>
      </c>
      <c r="F161" t="s">
        <v>538</v>
      </c>
      <c r="G161" t="s">
        <v>539</v>
      </c>
      <c r="H161" t="s">
        <v>539</v>
      </c>
      <c r="I161">
        <v>1206602000</v>
      </c>
    </row>
    <row r="162" spans="1:9" x14ac:dyDescent="0.25">
      <c r="A162" t="s">
        <v>22</v>
      </c>
      <c r="B162" t="s">
        <v>536</v>
      </c>
      <c r="C162" t="s">
        <v>537</v>
      </c>
      <c r="D162">
        <v>20251231</v>
      </c>
      <c r="E162">
        <v>0</v>
      </c>
      <c r="F162" t="s">
        <v>538</v>
      </c>
      <c r="G162" t="s">
        <v>539</v>
      </c>
      <c r="H162" t="s">
        <v>539</v>
      </c>
      <c r="I162">
        <v>4045161000</v>
      </c>
    </row>
    <row r="163" spans="1:9" x14ac:dyDescent="0.25">
      <c r="A163" t="s">
        <v>22</v>
      </c>
      <c r="B163" t="s">
        <v>543</v>
      </c>
      <c r="C163" t="s">
        <v>537</v>
      </c>
      <c r="D163">
        <v>20251231</v>
      </c>
      <c r="E163">
        <v>4</v>
      </c>
      <c r="F163" t="s">
        <v>538</v>
      </c>
      <c r="G163" t="s">
        <v>539</v>
      </c>
      <c r="H163" t="s">
        <v>539</v>
      </c>
      <c r="I163">
        <v>60502000</v>
      </c>
    </row>
    <row r="164" spans="1:9" x14ac:dyDescent="0.25">
      <c r="A164" t="s">
        <v>22</v>
      </c>
      <c r="B164" t="s">
        <v>544</v>
      </c>
      <c r="C164" t="s">
        <v>537</v>
      </c>
      <c r="D164">
        <v>20251231</v>
      </c>
      <c r="E164">
        <v>0</v>
      </c>
      <c r="F164" t="s">
        <v>538</v>
      </c>
      <c r="G164" t="s">
        <v>539</v>
      </c>
      <c r="H164" t="s">
        <v>539</v>
      </c>
      <c r="I164">
        <v>548234000</v>
      </c>
    </row>
    <row r="165" spans="1:9" x14ac:dyDescent="0.25">
      <c r="A165" t="s">
        <v>14</v>
      </c>
      <c r="B165" t="s">
        <v>540</v>
      </c>
      <c r="C165" t="s">
        <v>537</v>
      </c>
      <c r="D165">
        <v>20251231</v>
      </c>
      <c r="E165">
        <v>0</v>
      </c>
      <c r="F165" t="s">
        <v>538</v>
      </c>
      <c r="G165" t="s">
        <v>539</v>
      </c>
      <c r="H165" t="s">
        <v>539</v>
      </c>
      <c r="I165">
        <v>3735401000</v>
      </c>
    </row>
    <row r="166" spans="1:9" x14ac:dyDescent="0.25">
      <c r="A166" t="s">
        <v>328</v>
      </c>
      <c r="B166" t="s">
        <v>542</v>
      </c>
      <c r="C166" t="s">
        <v>537</v>
      </c>
      <c r="D166">
        <v>20251231</v>
      </c>
      <c r="E166">
        <v>4</v>
      </c>
      <c r="F166" t="s">
        <v>538</v>
      </c>
      <c r="G166" t="s">
        <v>539</v>
      </c>
      <c r="H166" t="s">
        <v>539</v>
      </c>
      <c r="I166">
        <v>3.9</v>
      </c>
    </row>
    <row r="167" spans="1:9" x14ac:dyDescent="0.25">
      <c r="A167" t="s">
        <v>346</v>
      </c>
      <c r="B167" t="s">
        <v>543</v>
      </c>
      <c r="C167" t="s">
        <v>537</v>
      </c>
      <c r="D167">
        <v>20251231</v>
      </c>
      <c r="E167">
        <v>4</v>
      </c>
      <c r="F167" t="s">
        <v>538</v>
      </c>
      <c r="G167" t="s">
        <v>539</v>
      </c>
      <c r="H167" t="s">
        <v>539</v>
      </c>
      <c r="I167">
        <v>130485000</v>
      </c>
    </row>
    <row r="168" spans="1:9" x14ac:dyDescent="0.25">
      <c r="A168" t="s">
        <v>328</v>
      </c>
      <c r="B168" t="s">
        <v>536</v>
      </c>
      <c r="C168" t="s">
        <v>537</v>
      </c>
      <c r="D168">
        <v>20251231</v>
      </c>
      <c r="E168">
        <v>0</v>
      </c>
      <c r="F168" t="s">
        <v>538</v>
      </c>
      <c r="G168" t="s">
        <v>539</v>
      </c>
      <c r="H168" t="s">
        <v>539</v>
      </c>
      <c r="I168">
        <v>16558434000</v>
      </c>
    </row>
    <row r="169" spans="1:9" x14ac:dyDescent="0.25">
      <c r="A169" t="s">
        <v>330</v>
      </c>
      <c r="B169" t="s">
        <v>540</v>
      </c>
      <c r="C169" t="s">
        <v>537</v>
      </c>
      <c r="D169">
        <v>20251231</v>
      </c>
      <c r="E169">
        <v>0</v>
      </c>
      <c r="F169" t="s">
        <v>538</v>
      </c>
      <c r="G169" t="s">
        <v>539</v>
      </c>
      <c r="H169" t="s">
        <v>539</v>
      </c>
      <c r="I169">
        <v>12343036000</v>
      </c>
    </row>
    <row r="170" spans="1:9" x14ac:dyDescent="0.25">
      <c r="A170" t="s">
        <v>330</v>
      </c>
      <c r="B170" t="s">
        <v>536</v>
      </c>
      <c r="C170" t="s">
        <v>537</v>
      </c>
      <c r="D170">
        <v>20251231</v>
      </c>
      <c r="E170">
        <v>0</v>
      </c>
      <c r="F170" t="s">
        <v>538</v>
      </c>
      <c r="G170" t="s">
        <v>539</v>
      </c>
      <c r="H170" t="s">
        <v>539</v>
      </c>
      <c r="I170">
        <v>10788660000</v>
      </c>
    </row>
    <row r="171" spans="1:9" x14ac:dyDescent="0.25">
      <c r="A171" t="s">
        <v>314</v>
      </c>
      <c r="B171" t="s">
        <v>543</v>
      </c>
      <c r="C171" t="s">
        <v>537</v>
      </c>
      <c r="D171">
        <v>20251231</v>
      </c>
      <c r="E171">
        <v>4</v>
      </c>
      <c r="F171" t="s">
        <v>538</v>
      </c>
      <c r="G171" t="s">
        <v>539</v>
      </c>
      <c r="H171" t="s">
        <v>539</v>
      </c>
      <c r="I171">
        <v>412154000</v>
      </c>
    </row>
    <row r="172" spans="1:9" x14ac:dyDescent="0.25">
      <c r="A172" t="s">
        <v>24</v>
      </c>
      <c r="B172" t="s">
        <v>542</v>
      </c>
      <c r="C172" t="s">
        <v>537</v>
      </c>
      <c r="D172">
        <v>20251231</v>
      </c>
      <c r="E172">
        <v>4</v>
      </c>
      <c r="F172" t="s">
        <v>538</v>
      </c>
      <c r="G172" t="s">
        <v>539</v>
      </c>
      <c r="H172" t="s">
        <v>539</v>
      </c>
      <c r="I172">
        <v>2.5</v>
      </c>
    </row>
    <row r="173" spans="1:9" x14ac:dyDescent="0.25">
      <c r="A173" t="s">
        <v>24</v>
      </c>
      <c r="B173" t="s">
        <v>544</v>
      </c>
      <c r="C173" t="s">
        <v>537</v>
      </c>
      <c r="D173">
        <v>20251231</v>
      </c>
      <c r="E173">
        <v>0</v>
      </c>
      <c r="F173" t="s">
        <v>538</v>
      </c>
      <c r="G173" t="s">
        <v>539</v>
      </c>
      <c r="H173" t="s">
        <v>539</v>
      </c>
      <c r="I173">
        <v>872127000</v>
      </c>
    </row>
    <row r="174" spans="1:9" x14ac:dyDescent="0.25">
      <c r="A174" t="s">
        <v>348</v>
      </c>
      <c r="B174" t="s">
        <v>536</v>
      </c>
      <c r="C174" t="s">
        <v>537</v>
      </c>
      <c r="D174">
        <v>20251231</v>
      </c>
      <c r="E174">
        <v>0</v>
      </c>
      <c r="F174" t="s">
        <v>538</v>
      </c>
      <c r="G174" t="s">
        <v>539</v>
      </c>
      <c r="H174" t="s">
        <v>539</v>
      </c>
      <c r="I174">
        <v>6078110000</v>
      </c>
    </row>
    <row r="175" spans="1:9" x14ac:dyDescent="0.25">
      <c r="A175" t="s">
        <v>348</v>
      </c>
      <c r="B175" t="s">
        <v>543</v>
      </c>
      <c r="C175" t="s">
        <v>537</v>
      </c>
      <c r="D175">
        <v>20251231</v>
      </c>
      <c r="E175">
        <v>4</v>
      </c>
      <c r="F175" t="s">
        <v>538</v>
      </c>
      <c r="G175" t="s">
        <v>539</v>
      </c>
      <c r="H175" t="s">
        <v>539</v>
      </c>
      <c r="I175">
        <v>52244000</v>
      </c>
    </row>
    <row r="176" spans="1:9" x14ac:dyDescent="0.25">
      <c r="A176" t="s">
        <v>22</v>
      </c>
      <c r="B176" t="s">
        <v>540</v>
      </c>
      <c r="C176" t="s">
        <v>537</v>
      </c>
      <c r="D176">
        <v>20251231</v>
      </c>
      <c r="E176">
        <v>0</v>
      </c>
      <c r="F176" t="s">
        <v>538</v>
      </c>
      <c r="G176" t="s">
        <v>539</v>
      </c>
      <c r="H176" t="s">
        <v>539</v>
      </c>
      <c r="I176">
        <v>4647870000</v>
      </c>
    </row>
    <row r="177" spans="1:9" x14ac:dyDescent="0.25">
      <c r="A177" t="s">
        <v>330</v>
      </c>
      <c r="B177" t="s">
        <v>544</v>
      </c>
      <c r="C177" t="s">
        <v>537</v>
      </c>
      <c r="D177">
        <v>20251231</v>
      </c>
      <c r="E177">
        <v>0</v>
      </c>
      <c r="F177" t="s">
        <v>538</v>
      </c>
      <c r="G177" t="s">
        <v>539</v>
      </c>
      <c r="H177" t="s">
        <v>539</v>
      </c>
      <c r="I177">
        <v>1554376000</v>
      </c>
    </row>
    <row r="178" spans="1:9" x14ac:dyDescent="0.25">
      <c r="A178" t="s">
        <v>28</v>
      </c>
      <c r="B178" t="s">
        <v>542</v>
      </c>
      <c r="C178" t="s">
        <v>537</v>
      </c>
      <c r="D178">
        <v>20251231</v>
      </c>
      <c r="E178">
        <v>4</v>
      </c>
      <c r="F178" t="s">
        <v>538</v>
      </c>
      <c r="G178" t="s">
        <v>539</v>
      </c>
      <c r="H178" t="s">
        <v>539</v>
      </c>
      <c r="I178">
        <v>3.86</v>
      </c>
    </row>
    <row r="179" spans="1:9" x14ac:dyDescent="0.25">
      <c r="A179" t="s">
        <v>28</v>
      </c>
      <c r="B179" t="s">
        <v>544</v>
      </c>
      <c r="C179" t="s">
        <v>537</v>
      </c>
      <c r="D179">
        <v>20251231</v>
      </c>
      <c r="E179">
        <v>0</v>
      </c>
      <c r="F179" t="s">
        <v>538</v>
      </c>
      <c r="G179" t="s">
        <v>539</v>
      </c>
      <c r="H179" t="s">
        <v>539</v>
      </c>
      <c r="I179">
        <v>696558000</v>
      </c>
    </row>
    <row r="180" spans="1:9" x14ac:dyDescent="0.25">
      <c r="A180" t="s">
        <v>332</v>
      </c>
      <c r="B180" t="s">
        <v>536</v>
      </c>
      <c r="C180" t="s">
        <v>537</v>
      </c>
      <c r="D180">
        <v>20251231</v>
      </c>
      <c r="E180">
        <v>0</v>
      </c>
      <c r="F180" t="s">
        <v>538</v>
      </c>
      <c r="G180" t="s">
        <v>539</v>
      </c>
      <c r="H180" t="s">
        <v>539</v>
      </c>
      <c r="I180">
        <v>512936000000</v>
      </c>
    </row>
    <row r="181" spans="1:9" x14ac:dyDescent="0.25">
      <c r="A181" t="s">
        <v>334</v>
      </c>
      <c r="B181" t="s">
        <v>543</v>
      </c>
      <c r="C181" t="s">
        <v>537</v>
      </c>
      <c r="D181">
        <v>20251231</v>
      </c>
      <c r="E181">
        <v>4</v>
      </c>
      <c r="F181" t="s">
        <v>538</v>
      </c>
      <c r="G181" t="s">
        <v>539</v>
      </c>
      <c r="H181" t="s">
        <v>539</v>
      </c>
      <c r="I181">
        <v>597983000</v>
      </c>
    </row>
    <row r="182" spans="1:9" x14ac:dyDescent="0.25">
      <c r="A182" t="s">
        <v>350</v>
      </c>
      <c r="B182" t="s">
        <v>544</v>
      </c>
      <c r="C182" t="s">
        <v>537</v>
      </c>
      <c r="D182">
        <v>20251231</v>
      </c>
      <c r="E182">
        <v>0</v>
      </c>
      <c r="F182" t="s">
        <v>538</v>
      </c>
      <c r="G182" t="s">
        <v>539</v>
      </c>
      <c r="H182" t="s">
        <v>539</v>
      </c>
      <c r="I182">
        <v>26317000000</v>
      </c>
    </row>
    <row r="183" spans="1:9" x14ac:dyDescent="0.25">
      <c r="A183" t="s">
        <v>336</v>
      </c>
      <c r="B183" t="s">
        <v>540</v>
      </c>
      <c r="C183" t="s">
        <v>537</v>
      </c>
      <c r="D183">
        <v>20251231</v>
      </c>
      <c r="E183">
        <v>0</v>
      </c>
      <c r="F183" t="s">
        <v>538</v>
      </c>
      <c r="G183" t="s">
        <v>539</v>
      </c>
      <c r="H183" t="s">
        <v>539</v>
      </c>
      <c r="I183">
        <v>8388780000</v>
      </c>
    </row>
    <row r="184" spans="1:9" x14ac:dyDescent="0.25">
      <c r="A184" t="s">
        <v>336</v>
      </c>
      <c r="B184" t="s">
        <v>543</v>
      </c>
      <c r="C184" t="s">
        <v>537</v>
      </c>
      <c r="D184">
        <v>20251231</v>
      </c>
      <c r="E184">
        <v>4</v>
      </c>
      <c r="F184" t="s">
        <v>538</v>
      </c>
      <c r="G184" t="s">
        <v>539</v>
      </c>
      <c r="H184" t="s">
        <v>539</v>
      </c>
      <c r="I184">
        <v>112635000</v>
      </c>
    </row>
    <row r="185" spans="1:9" x14ac:dyDescent="0.25">
      <c r="A185" t="s">
        <v>338</v>
      </c>
      <c r="B185" t="s">
        <v>540</v>
      </c>
      <c r="C185" t="s">
        <v>537</v>
      </c>
      <c r="D185">
        <v>20251231</v>
      </c>
      <c r="E185">
        <v>0</v>
      </c>
      <c r="F185" t="s">
        <v>538</v>
      </c>
      <c r="G185" t="s">
        <v>539</v>
      </c>
      <c r="H185" t="s">
        <v>539</v>
      </c>
      <c r="I185">
        <v>26751426000</v>
      </c>
    </row>
    <row r="186" spans="1:9" x14ac:dyDescent="0.25">
      <c r="A186" t="s">
        <v>354</v>
      </c>
      <c r="B186" t="s">
        <v>541</v>
      </c>
      <c r="C186" t="s">
        <v>537</v>
      </c>
      <c r="D186">
        <v>20251231</v>
      </c>
      <c r="E186">
        <v>4</v>
      </c>
      <c r="F186" t="s">
        <v>538</v>
      </c>
      <c r="G186" t="s">
        <v>539</v>
      </c>
      <c r="H186" t="s">
        <v>539</v>
      </c>
      <c r="I186">
        <v>11778000000</v>
      </c>
    </row>
    <row r="187" spans="1:9" x14ac:dyDescent="0.25">
      <c r="A187" t="s">
        <v>338</v>
      </c>
      <c r="B187" t="s">
        <v>544</v>
      </c>
      <c r="C187" t="s">
        <v>537</v>
      </c>
      <c r="D187">
        <v>20251231</v>
      </c>
      <c r="E187">
        <v>0</v>
      </c>
      <c r="F187" t="s">
        <v>538</v>
      </c>
      <c r="G187" t="s">
        <v>539</v>
      </c>
      <c r="H187" t="s">
        <v>539</v>
      </c>
      <c r="I187">
        <v>3884905000</v>
      </c>
    </row>
    <row r="188" spans="1:9" x14ac:dyDescent="0.25">
      <c r="A188" t="s">
        <v>356</v>
      </c>
      <c r="B188" t="s">
        <v>540</v>
      </c>
      <c r="C188" t="s">
        <v>537</v>
      </c>
      <c r="D188">
        <v>20251231</v>
      </c>
      <c r="E188">
        <v>0</v>
      </c>
      <c r="F188" t="s">
        <v>538</v>
      </c>
      <c r="G188" t="s">
        <v>539</v>
      </c>
      <c r="H188" t="s">
        <v>539</v>
      </c>
      <c r="I188">
        <v>84073663000</v>
      </c>
    </row>
    <row r="189" spans="1:9" x14ac:dyDescent="0.25">
      <c r="A189" t="s">
        <v>30</v>
      </c>
      <c r="B189" t="s">
        <v>543</v>
      </c>
      <c r="C189" t="s">
        <v>537</v>
      </c>
      <c r="D189">
        <v>20251231</v>
      </c>
      <c r="E189">
        <v>4</v>
      </c>
      <c r="F189" t="s">
        <v>538</v>
      </c>
      <c r="G189" t="s">
        <v>539</v>
      </c>
      <c r="H189" t="s">
        <v>539</v>
      </c>
      <c r="I189">
        <v>34394000</v>
      </c>
    </row>
    <row r="190" spans="1:9" x14ac:dyDescent="0.25">
      <c r="A190" t="s">
        <v>298</v>
      </c>
      <c r="B190" t="s">
        <v>540</v>
      </c>
      <c r="C190" t="s">
        <v>537</v>
      </c>
      <c r="D190">
        <v>20251231</v>
      </c>
      <c r="E190">
        <v>0</v>
      </c>
      <c r="F190" t="s">
        <v>538</v>
      </c>
      <c r="G190" t="s">
        <v>539</v>
      </c>
      <c r="H190" t="s">
        <v>539</v>
      </c>
      <c r="I190">
        <v>177132700000</v>
      </c>
    </row>
    <row r="191" spans="1:9" x14ac:dyDescent="0.25">
      <c r="A191" t="s">
        <v>356</v>
      </c>
      <c r="B191" t="s">
        <v>544</v>
      </c>
      <c r="C191" t="s">
        <v>537</v>
      </c>
      <c r="D191">
        <v>20251231</v>
      </c>
      <c r="E191">
        <v>0</v>
      </c>
      <c r="F191" t="s">
        <v>538</v>
      </c>
      <c r="G191" t="s">
        <v>539</v>
      </c>
      <c r="H191" t="s">
        <v>539</v>
      </c>
      <c r="I191">
        <v>9492236000</v>
      </c>
    </row>
    <row r="192" spans="1:9" x14ac:dyDescent="0.25">
      <c r="A192" t="s">
        <v>340</v>
      </c>
      <c r="B192" t="s">
        <v>540</v>
      </c>
      <c r="C192" t="s">
        <v>537</v>
      </c>
      <c r="D192">
        <v>20251231</v>
      </c>
      <c r="E192">
        <v>0</v>
      </c>
      <c r="F192" t="s">
        <v>538</v>
      </c>
      <c r="G192" t="s">
        <v>539</v>
      </c>
      <c r="H192" t="s">
        <v>539</v>
      </c>
      <c r="I192">
        <v>9870980000</v>
      </c>
    </row>
    <row r="193" spans="1:9" x14ac:dyDescent="0.25">
      <c r="A193" t="s">
        <v>316</v>
      </c>
      <c r="B193" t="s">
        <v>542</v>
      </c>
      <c r="C193" t="s">
        <v>537</v>
      </c>
      <c r="D193">
        <v>20251231</v>
      </c>
      <c r="E193">
        <v>4</v>
      </c>
      <c r="F193" t="s">
        <v>538</v>
      </c>
      <c r="G193" t="s">
        <v>539</v>
      </c>
      <c r="H193" t="s">
        <v>539</v>
      </c>
      <c r="I193">
        <v>3.72</v>
      </c>
    </row>
    <row r="194" spans="1:9" x14ac:dyDescent="0.25">
      <c r="A194" t="s">
        <v>358</v>
      </c>
      <c r="B194" t="s">
        <v>542</v>
      </c>
      <c r="C194" t="s">
        <v>537</v>
      </c>
      <c r="D194">
        <v>20251231</v>
      </c>
      <c r="E194">
        <v>4</v>
      </c>
      <c r="F194" t="s">
        <v>538</v>
      </c>
      <c r="G194" t="s">
        <v>539</v>
      </c>
      <c r="H194" t="s">
        <v>539</v>
      </c>
      <c r="I194">
        <v>11.18</v>
      </c>
    </row>
    <row r="195" spans="1:9" x14ac:dyDescent="0.25">
      <c r="A195" t="s">
        <v>316</v>
      </c>
      <c r="B195" t="s">
        <v>541</v>
      </c>
      <c r="C195" t="s">
        <v>537</v>
      </c>
      <c r="D195">
        <v>20251231</v>
      </c>
      <c r="E195">
        <v>4</v>
      </c>
      <c r="F195" t="s">
        <v>538</v>
      </c>
      <c r="G195" t="s">
        <v>539</v>
      </c>
      <c r="H195" t="s">
        <v>539</v>
      </c>
      <c r="I195">
        <v>470572000</v>
      </c>
    </row>
    <row r="196" spans="1:9" x14ac:dyDescent="0.25">
      <c r="A196" t="s">
        <v>360</v>
      </c>
      <c r="B196" t="s">
        <v>543</v>
      </c>
      <c r="C196" t="s">
        <v>537</v>
      </c>
      <c r="D196">
        <v>20251231</v>
      </c>
      <c r="E196">
        <v>4</v>
      </c>
      <c r="F196" t="s">
        <v>538</v>
      </c>
      <c r="G196" t="s">
        <v>539</v>
      </c>
      <c r="H196" t="s">
        <v>539</v>
      </c>
      <c r="I196">
        <v>111048000</v>
      </c>
    </row>
    <row r="197" spans="1:9" x14ac:dyDescent="0.25">
      <c r="A197" t="s">
        <v>320</v>
      </c>
      <c r="B197" t="s">
        <v>540</v>
      </c>
      <c r="C197" t="s">
        <v>546</v>
      </c>
      <c r="D197">
        <v>20251231</v>
      </c>
      <c r="E197">
        <v>0</v>
      </c>
      <c r="F197" t="s">
        <v>538</v>
      </c>
      <c r="G197" t="s">
        <v>539</v>
      </c>
      <c r="H197" t="s">
        <v>539</v>
      </c>
      <c r="I197">
        <v>7409241000</v>
      </c>
    </row>
    <row r="198" spans="1:9" x14ac:dyDescent="0.25">
      <c r="A198" t="s">
        <v>320</v>
      </c>
      <c r="B198" t="s">
        <v>544</v>
      </c>
      <c r="C198" t="s">
        <v>546</v>
      </c>
      <c r="D198">
        <v>20251231</v>
      </c>
      <c r="E198">
        <v>0</v>
      </c>
      <c r="F198" t="s">
        <v>538</v>
      </c>
      <c r="G198" t="s">
        <v>539</v>
      </c>
      <c r="H198" t="s">
        <v>539</v>
      </c>
      <c r="I198">
        <v>592581000</v>
      </c>
    </row>
    <row r="199" spans="1:9" x14ac:dyDescent="0.25">
      <c r="A199" t="s">
        <v>342</v>
      </c>
      <c r="B199" t="s">
        <v>542</v>
      </c>
      <c r="C199" t="s">
        <v>537</v>
      </c>
      <c r="D199">
        <v>20251231</v>
      </c>
      <c r="E199">
        <v>4</v>
      </c>
      <c r="F199" t="s">
        <v>538</v>
      </c>
      <c r="G199" t="s">
        <v>539</v>
      </c>
      <c r="H199" t="s">
        <v>539</v>
      </c>
      <c r="I199">
        <v>4.0199999999999996</v>
      </c>
    </row>
    <row r="200" spans="1:9" x14ac:dyDescent="0.25">
      <c r="A200" t="s">
        <v>352</v>
      </c>
      <c r="B200" t="s">
        <v>544</v>
      </c>
      <c r="C200" t="s">
        <v>537</v>
      </c>
      <c r="D200">
        <v>20251231</v>
      </c>
      <c r="E200">
        <v>0</v>
      </c>
      <c r="F200" t="s">
        <v>538</v>
      </c>
      <c r="G200" t="s">
        <v>539</v>
      </c>
      <c r="H200" t="s">
        <v>539</v>
      </c>
      <c r="I200">
        <v>3565728000</v>
      </c>
    </row>
    <row r="201" spans="1:9" x14ac:dyDescent="0.25">
      <c r="A201" t="s">
        <v>350</v>
      </c>
      <c r="B201" t="s">
        <v>540</v>
      </c>
      <c r="C201" t="s">
        <v>537</v>
      </c>
      <c r="D201">
        <v>20251231</v>
      </c>
      <c r="E201">
        <v>0</v>
      </c>
      <c r="F201" t="s">
        <v>538</v>
      </c>
      <c r="G201" t="s">
        <v>539</v>
      </c>
      <c r="H201" t="s">
        <v>539</v>
      </c>
      <c r="I201">
        <v>226351000000</v>
      </c>
    </row>
    <row r="202" spans="1:9" x14ac:dyDescent="0.25">
      <c r="A202" t="s">
        <v>10</v>
      </c>
      <c r="B202" t="s">
        <v>536</v>
      </c>
      <c r="C202" t="s">
        <v>537</v>
      </c>
      <c r="D202">
        <v>20251231</v>
      </c>
      <c r="E202">
        <v>0</v>
      </c>
      <c r="F202" t="s">
        <v>538</v>
      </c>
      <c r="G202" t="s">
        <v>539</v>
      </c>
      <c r="H202" t="s">
        <v>539</v>
      </c>
      <c r="I202">
        <v>5748360000</v>
      </c>
    </row>
    <row r="203" spans="1:9" x14ac:dyDescent="0.25">
      <c r="A203" t="s">
        <v>10</v>
      </c>
      <c r="B203" t="s">
        <v>543</v>
      </c>
      <c r="C203" t="s">
        <v>537</v>
      </c>
      <c r="D203">
        <v>20251231</v>
      </c>
      <c r="E203">
        <v>4</v>
      </c>
      <c r="F203" t="s">
        <v>538</v>
      </c>
      <c r="G203" t="s">
        <v>539</v>
      </c>
      <c r="H203" t="s">
        <v>539</v>
      </c>
      <c r="I203">
        <v>-150482000</v>
      </c>
    </row>
    <row r="204" spans="1:9" x14ac:dyDescent="0.25">
      <c r="A204" t="s">
        <v>12</v>
      </c>
      <c r="B204" t="s">
        <v>542</v>
      </c>
      <c r="C204" t="s">
        <v>537</v>
      </c>
      <c r="D204">
        <v>20251231</v>
      </c>
      <c r="E204">
        <v>4</v>
      </c>
      <c r="F204" t="s">
        <v>538</v>
      </c>
      <c r="G204" t="s">
        <v>539</v>
      </c>
      <c r="H204" t="s">
        <v>539</v>
      </c>
      <c r="I204">
        <v>2.4300000000000002</v>
      </c>
    </row>
    <row r="205" spans="1:9" x14ac:dyDescent="0.25">
      <c r="A205" t="s">
        <v>12</v>
      </c>
      <c r="B205" t="s">
        <v>536</v>
      </c>
      <c r="C205" t="s">
        <v>537</v>
      </c>
      <c r="D205">
        <v>20251231</v>
      </c>
      <c r="E205">
        <v>0</v>
      </c>
      <c r="F205" t="s">
        <v>538</v>
      </c>
      <c r="G205" t="s">
        <v>539</v>
      </c>
      <c r="H205" t="s">
        <v>539</v>
      </c>
      <c r="I205">
        <v>1536327000</v>
      </c>
    </row>
    <row r="206" spans="1:9" x14ac:dyDescent="0.25">
      <c r="A206" t="s">
        <v>12</v>
      </c>
      <c r="B206" t="s">
        <v>544</v>
      </c>
      <c r="C206" t="s">
        <v>537</v>
      </c>
      <c r="D206">
        <v>20251231</v>
      </c>
      <c r="E206">
        <v>0</v>
      </c>
      <c r="F206" t="s">
        <v>538</v>
      </c>
      <c r="G206" t="s">
        <v>539</v>
      </c>
      <c r="H206" t="s">
        <v>539</v>
      </c>
      <c r="I206">
        <v>80864000</v>
      </c>
    </row>
    <row r="207" spans="1:9" x14ac:dyDescent="0.25">
      <c r="A207" t="s">
        <v>344</v>
      </c>
      <c r="B207" t="s">
        <v>542</v>
      </c>
      <c r="C207" t="s">
        <v>546</v>
      </c>
      <c r="D207">
        <v>20251231</v>
      </c>
      <c r="E207">
        <v>4</v>
      </c>
      <c r="F207" t="s">
        <v>538</v>
      </c>
      <c r="G207" t="s">
        <v>539</v>
      </c>
      <c r="H207" t="s">
        <v>539</v>
      </c>
      <c r="I207">
        <v>3.61</v>
      </c>
    </row>
    <row r="208" spans="1:9" x14ac:dyDescent="0.25">
      <c r="A208" t="s">
        <v>324</v>
      </c>
      <c r="B208" t="s">
        <v>541</v>
      </c>
      <c r="C208" t="s">
        <v>537</v>
      </c>
      <c r="D208">
        <v>20251231</v>
      </c>
      <c r="E208">
        <v>4</v>
      </c>
      <c r="F208" t="s">
        <v>538</v>
      </c>
      <c r="G208" t="s">
        <v>539</v>
      </c>
      <c r="H208" t="s">
        <v>539</v>
      </c>
      <c r="I208">
        <v>3269853000</v>
      </c>
    </row>
    <row r="209" spans="1:9" x14ac:dyDescent="0.25">
      <c r="A209" t="s">
        <v>326</v>
      </c>
      <c r="B209" t="s">
        <v>544</v>
      </c>
      <c r="C209" t="s">
        <v>537</v>
      </c>
      <c r="D209">
        <v>20251231</v>
      </c>
      <c r="E209">
        <v>0</v>
      </c>
      <c r="F209" t="s">
        <v>538</v>
      </c>
      <c r="G209" t="s">
        <v>539</v>
      </c>
      <c r="H209" t="s">
        <v>539</v>
      </c>
      <c r="I209">
        <v>2769216000</v>
      </c>
    </row>
    <row r="210" spans="1:9" x14ac:dyDescent="0.25">
      <c r="A210" t="s">
        <v>328</v>
      </c>
      <c r="B210" t="s">
        <v>544</v>
      </c>
      <c r="C210" t="s">
        <v>537</v>
      </c>
      <c r="D210">
        <v>20251231</v>
      </c>
      <c r="E210">
        <v>0</v>
      </c>
      <c r="F210" t="s">
        <v>538</v>
      </c>
      <c r="G210" t="s">
        <v>539</v>
      </c>
      <c r="H210" t="s">
        <v>539</v>
      </c>
      <c r="I210">
        <v>2466667000</v>
      </c>
    </row>
    <row r="211" spans="1:9" x14ac:dyDescent="0.25">
      <c r="A211" t="s">
        <v>330</v>
      </c>
      <c r="B211" t="s">
        <v>541</v>
      </c>
      <c r="C211" t="s">
        <v>537</v>
      </c>
      <c r="D211">
        <v>20251231</v>
      </c>
      <c r="E211">
        <v>4</v>
      </c>
      <c r="F211" t="s">
        <v>538</v>
      </c>
      <c r="G211" t="s">
        <v>539</v>
      </c>
      <c r="H211" t="s">
        <v>539</v>
      </c>
      <c r="I211">
        <v>632688000</v>
      </c>
    </row>
    <row r="212" spans="1:9" x14ac:dyDescent="0.25">
      <c r="A212" t="s">
        <v>332</v>
      </c>
      <c r="B212" t="s">
        <v>541</v>
      </c>
      <c r="C212" t="s">
        <v>537</v>
      </c>
      <c r="D212">
        <v>20251231</v>
      </c>
      <c r="E212">
        <v>4</v>
      </c>
      <c r="F212" t="s">
        <v>538</v>
      </c>
      <c r="G212" t="s">
        <v>539</v>
      </c>
      <c r="H212" t="s">
        <v>539</v>
      </c>
      <c r="I212">
        <v>25307000000</v>
      </c>
    </row>
    <row r="213" spans="1:9" x14ac:dyDescent="0.25">
      <c r="A213" t="s">
        <v>334</v>
      </c>
      <c r="B213" t="s">
        <v>541</v>
      </c>
      <c r="C213" t="s">
        <v>537</v>
      </c>
      <c r="D213">
        <v>20251231</v>
      </c>
      <c r="E213">
        <v>4</v>
      </c>
      <c r="F213" t="s">
        <v>538</v>
      </c>
      <c r="G213" t="s">
        <v>539</v>
      </c>
      <c r="H213" t="s">
        <v>539</v>
      </c>
      <c r="I213">
        <v>3232484000</v>
      </c>
    </row>
    <row r="214" spans="1:9" x14ac:dyDescent="0.25">
      <c r="A214" t="s">
        <v>366</v>
      </c>
      <c r="B214" t="s">
        <v>543</v>
      </c>
      <c r="C214" t="s">
        <v>537</v>
      </c>
      <c r="D214">
        <v>20251231</v>
      </c>
      <c r="E214">
        <v>4</v>
      </c>
      <c r="F214" t="s">
        <v>538</v>
      </c>
      <c r="G214" t="s">
        <v>539</v>
      </c>
      <c r="H214" t="s">
        <v>539</v>
      </c>
      <c r="I214">
        <v>14306000000</v>
      </c>
    </row>
    <row r="215" spans="1:9" x14ac:dyDescent="0.25">
      <c r="A215" t="s">
        <v>366</v>
      </c>
      <c r="B215" t="s">
        <v>544</v>
      </c>
      <c r="C215" t="s">
        <v>537</v>
      </c>
      <c r="D215">
        <v>20251231</v>
      </c>
      <c r="E215">
        <v>0</v>
      </c>
      <c r="F215" t="s">
        <v>538</v>
      </c>
      <c r="G215" t="s">
        <v>539</v>
      </c>
      <c r="H215" t="s">
        <v>539</v>
      </c>
      <c r="I215">
        <v>212291000000</v>
      </c>
    </row>
    <row r="216" spans="1:9" x14ac:dyDescent="0.25">
      <c r="A216" t="s">
        <v>358</v>
      </c>
      <c r="B216" t="s">
        <v>541</v>
      </c>
      <c r="C216" t="s">
        <v>537</v>
      </c>
      <c r="D216">
        <v>20251231</v>
      </c>
      <c r="E216">
        <v>4</v>
      </c>
      <c r="F216" t="s">
        <v>538</v>
      </c>
      <c r="G216" t="s">
        <v>539</v>
      </c>
      <c r="H216" t="s">
        <v>539</v>
      </c>
      <c r="I216">
        <v>544540000</v>
      </c>
    </row>
    <row r="217" spans="1:9" x14ac:dyDescent="0.25">
      <c r="A217" t="s">
        <v>358</v>
      </c>
      <c r="B217" t="s">
        <v>543</v>
      </c>
      <c r="C217" t="s">
        <v>537</v>
      </c>
      <c r="D217">
        <v>20251231</v>
      </c>
      <c r="E217">
        <v>4</v>
      </c>
      <c r="F217" t="s">
        <v>538</v>
      </c>
      <c r="G217" t="s">
        <v>539</v>
      </c>
      <c r="H217" t="s">
        <v>539</v>
      </c>
      <c r="I217">
        <v>180073000</v>
      </c>
    </row>
    <row r="218" spans="1:9" x14ac:dyDescent="0.25">
      <c r="A218" t="s">
        <v>16</v>
      </c>
      <c r="B218" t="s">
        <v>543</v>
      </c>
      <c r="C218" t="s">
        <v>537</v>
      </c>
      <c r="D218">
        <v>20251231</v>
      </c>
      <c r="E218">
        <v>4</v>
      </c>
      <c r="F218" t="s">
        <v>538</v>
      </c>
      <c r="G218" t="s">
        <v>539</v>
      </c>
      <c r="H218" t="s">
        <v>539</v>
      </c>
      <c r="I218">
        <v>79208000</v>
      </c>
    </row>
    <row r="219" spans="1:9" x14ac:dyDescent="0.25">
      <c r="A219" t="s">
        <v>338</v>
      </c>
      <c r="B219" t="s">
        <v>536</v>
      </c>
      <c r="C219" t="s">
        <v>537</v>
      </c>
      <c r="D219">
        <v>20251231</v>
      </c>
      <c r="E219">
        <v>0</v>
      </c>
      <c r="F219" t="s">
        <v>538</v>
      </c>
      <c r="G219" t="s">
        <v>539</v>
      </c>
      <c r="H219" t="s">
        <v>539</v>
      </c>
      <c r="I219">
        <v>22866521000</v>
      </c>
    </row>
    <row r="220" spans="1:9" x14ac:dyDescent="0.25">
      <c r="A220" t="s">
        <v>20</v>
      </c>
      <c r="B220" t="s">
        <v>541</v>
      </c>
      <c r="C220" t="s">
        <v>537</v>
      </c>
      <c r="D220">
        <v>20251231</v>
      </c>
      <c r="E220">
        <v>4</v>
      </c>
      <c r="F220" t="s">
        <v>538</v>
      </c>
      <c r="G220" t="s">
        <v>539</v>
      </c>
      <c r="H220" t="s">
        <v>539</v>
      </c>
      <c r="I220">
        <v>114371000</v>
      </c>
    </row>
    <row r="221" spans="1:9" x14ac:dyDescent="0.25">
      <c r="A221" t="s">
        <v>20</v>
      </c>
      <c r="B221" t="s">
        <v>544</v>
      </c>
      <c r="C221" t="s">
        <v>537</v>
      </c>
      <c r="D221">
        <v>20251231</v>
      </c>
      <c r="E221">
        <v>0</v>
      </c>
      <c r="F221" t="s">
        <v>538</v>
      </c>
      <c r="G221" t="s">
        <v>539</v>
      </c>
      <c r="H221" t="s">
        <v>539</v>
      </c>
      <c r="I221">
        <v>175242000</v>
      </c>
    </row>
    <row r="222" spans="1:9" x14ac:dyDescent="0.25">
      <c r="A222" t="s">
        <v>356</v>
      </c>
      <c r="B222" t="s">
        <v>541</v>
      </c>
      <c r="C222" t="s">
        <v>537</v>
      </c>
      <c r="D222">
        <v>20251231</v>
      </c>
      <c r="E222">
        <v>4</v>
      </c>
      <c r="F222" t="s">
        <v>538</v>
      </c>
      <c r="G222" t="s">
        <v>539</v>
      </c>
      <c r="H222" t="s">
        <v>539</v>
      </c>
      <c r="I222">
        <v>4021508000</v>
      </c>
    </row>
    <row r="223" spans="1:9" x14ac:dyDescent="0.25">
      <c r="A223" t="s">
        <v>364</v>
      </c>
      <c r="B223" t="s">
        <v>542</v>
      </c>
      <c r="C223" t="s">
        <v>537</v>
      </c>
      <c r="D223">
        <v>20251231</v>
      </c>
      <c r="E223">
        <v>4</v>
      </c>
      <c r="F223" t="s">
        <v>538</v>
      </c>
      <c r="G223" t="s">
        <v>539</v>
      </c>
      <c r="H223" t="s">
        <v>539</v>
      </c>
      <c r="I223">
        <v>5.1100000000000003</v>
      </c>
    </row>
    <row r="224" spans="1:9" x14ac:dyDescent="0.25">
      <c r="A224" t="s">
        <v>370</v>
      </c>
      <c r="B224" t="s">
        <v>542</v>
      </c>
      <c r="C224" t="s">
        <v>537</v>
      </c>
      <c r="D224">
        <v>20251231</v>
      </c>
      <c r="E224">
        <v>4</v>
      </c>
      <c r="F224" t="s">
        <v>538</v>
      </c>
      <c r="G224" t="s">
        <v>539</v>
      </c>
      <c r="H224" t="s">
        <v>539</v>
      </c>
      <c r="I224">
        <v>2.62</v>
      </c>
    </row>
    <row r="225" spans="1:9" x14ac:dyDescent="0.25">
      <c r="A225" t="s">
        <v>370</v>
      </c>
      <c r="B225" t="s">
        <v>543</v>
      </c>
      <c r="C225" t="s">
        <v>537</v>
      </c>
      <c r="D225">
        <v>20251231</v>
      </c>
      <c r="E225">
        <v>4</v>
      </c>
      <c r="F225" t="s">
        <v>538</v>
      </c>
      <c r="G225" t="s">
        <v>539</v>
      </c>
      <c r="H225" t="s">
        <v>539</v>
      </c>
      <c r="I225">
        <v>328095000</v>
      </c>
    </row>
    <row r="226" spans="1:9" x14ac:dyDescent="0.25">
      <c r="A226" t="s">
        <v>364</v>
      </c>
      <c r="B226" t="s">
        <v>541</v>
      </c>
      <c r="C226" t="s">
        <v>537</v>
      </c>
      <c r="D226">
        <v>20251231</v>
      </c>
      <c r="E226">
        <v>4</v>
      </c>
      <c r="F226" t="s">
        <v>538</v>
      </c>
      <c r="G226" t="s">
        <v>539</v>
      </c>
      <c r="H226" t="s">
        <v>539</v>
      </c>
      <c r="I226">
        <v>1019688000</v>
      </c>
    </row>
    <row r="227" spans="1:9" x14ac:dyDescent="0.25">
      <c r="A227" t="s">
        <v>370</v>
      </c>
      <c r="B227" t="s">
        <v>544</v>
      </c>
      <c r="C227" t="s">
        <v>537</v>
      </c>
      <c r="D227">
        <v>20251231</v>
      </c>
      <c r="E227">
        <v>0</v>
      </c>
      <c r="F227" t="s">
        <v>538</v>
      </c>
      <c r="G227" t="s">
        <v>539</v>
      </c>
      <c r="H227" t="s">
        <v>539</v>
      </c>
      <c r="I227">
        <v>3638686000</v>
      </c>
    </row>
    <row r="228" spans="1:9" x14ac:dyDescent="0.25">
      <c r="A228" t="s">
        <v>362</v>
      </c>
      <c r="B228" t="s">
        <v>536</v>
      </c>
      <c r="C228" t="s">
        <v>537</v>
      </c>
      <c r="D228">
        <v>20251231</v>
      </c>
      <c r="E228">
        <v>0</v>
      </c>
      <c r="F228" t="s">
        <v>538</v>
      </c>
      <c r="G228" t="s">
        <v>539</v>
      </c>
      <c r="H228" t="s">
        <v>539</v>
      </c>
      <c r="I228">
        <v>146627414000</v>
      </c>
    </row>
    <row r="229" spans="1:9" x14ac:dyDescent="0.25">
      <c r="A229" t="s">
        <v>348</v>
      </c>
      <c r="B229" t="s">
        <v>541</v>
      </c>
      <c r="C229" t="s">
        <v>537</v>
      </c>
      <c r="D229">
        <v>20251231</v>
      </c>
      <c r="E229">
        <v>4</v>
      </c>
      <c r="F229" t="s">
        <v>538</v>
      </c>
      <c r="G229" t="s">
        <v>539</v>
      </c>
      <c r="H229" t="s">
        <v>539</v>
      </c>
      <c r="I229">
        <v>318091000</v>
      </c>
    </row>
    <row r="230" spans="1:9" x14ac:dyDescent="0.25">
      <c r="A230" t="s">
        <v>26</v>
      </c>
      <c r="B230" t="s">
        <v>540</v>
      </c>
      <c r="C230" t="s">
        <v>537</v>
      </c>
      <c r="D230">
        <v>20251231</v>
      </c>
      <c r="E230">
        <v>0</v>
      </c>
      <c r="F230" t="s">
        <v>538</v>
      </c>
      <c r="G230" t="s">
        <v>539</v>
      </c>
      <c r="H230" t="s">
        <v>539</v>
      </c>
      <c r="I230">
        <v>1530977000</v>
      </c>
    </row>
    <row r="231" spans="1:9" x14ac:dyDescent="0.25">
      <c r="A231" t="s">
        <v>350</v>
      </c>
      <c r="B231" t="s">
        <v>536</v>
      </c>
      <c r="C231" t="s">
        <v>537</v>
      </c>
      <c r="D231">
        <v>20251231</v>
      </c>
      <c r="E231">
        <v>0</v>
      </c>
      <c r="F231" t="s">
        <v>538</v>
      </c>
      <c r="G231" t="s">
        <v>539</v>
      </c>
      <c r="H231" t="s">
        <v>539</v>
      </c>
      <c r="I231">
        <v>200034000000</v>
      </c>
    </row>
    <row r="232" spans="1:9" x14ac:dyDescent="0.25">
      <c r="A232" t="s">
        <v>370</v>
      </c>
      <c r="B232" t="s">
        <v>541</v>
      </c>
      <c r="C232" t="s">
        <v>537</v>
      </c>
      <c r="D232">
        <v>20251231</v>
      </c>
      <c r="E232">
        <v>4</v>
      </c>
      <c r="F232" t="s">
        <v>538</v>
      </c>
      <c r="G232" t="s">
        <v>539</v>
      </c>
      <c r="H232" t="s">
        <v>539</v>
      </c>
      <c r="I232">
        <v>1382939000</v>
      </c>
    </row>
    <row r="233" spans="1:9" x14ac:dyDescent="0.25">
      <c r="A233" t="s">
        <v>374</v>
      </c>
      <c r="B233" t="s">
        <v>541</v>
      </c>
      <c r="C233" t="s">
        <v>537</v>
      </c>
      <c r="D233">
        <v>20251231</v>
      </c>
      <c r="E233">
        <v>4</v>
      </c>
      <c r="F233" t="s">
        <v>538</v>
      </c>
      <c r="G233" t="s">
        <v>539</v>
      </c>
      <c r="H233" t="s">
        <v>539</v>
      </c>
      <c r="I233">
        <v>1295797000</v>
      </c>
    </row>
    <row r="234" spans="1:9" x14ac:dyDescent="0.25">
      <c r="A234" t="s">
        <v>374</v>
      </c>
      <c r="B234" t="s">
        <v>536</v>
      </c>
      <c r="C234" t="s">
        <v>537</v>
      </c>
      <c r="D234">
        <v>20251231</v>
      </c>
      <c r="E234">
        <v>0</v>
      </c>
      <c r="F234" t="s">
        <v>538</v>
      </c>
      <c r="G234" t="s">
        <v>539</v>
      </c>
      <c r="H234" t="s">
        <v>539</v>
      </c>
      <c r="I234">
        <v>27764242000</v>
      </c>
    </row>
    <row r="235" spans="1:9" x14ac:dyDescent="0.25">
      <c r="A235" t="s">
        <v>30</v>
      </c>
      <c r="B235" t="s">
        <v>540</v>
      </c>
      <c r="C235" t="s">
        <v>537</v>
      </c>
      <c r="D235">
        <v>20251231</v>
      </c>
      <c r="E235">
        <v>0</v>
      </c>
      <c r="F235" t="s">
        <v>538</v>
      </c>
      <c r="G235" t="s">
        <v>539</v>
      </c>
      <c r="H235" t="s">
        <v>539</v>
      </c>
      <c r="I235">
        <v>3166303000</v>
      </c>
    </row>
    <row r="236" spans="1:9" x14ac:dyDescent="0.25">
      <c r="A236" t="s">
        <v>32</v>
      </c>
      <c r="B236" t="s">
        <v>542</v>
      </c>
      <c r="C236" t="s">
        <v>537</v>
      </c>
      <c r="D236">
        <v>20251231</v>
      </c>
      <c r="E236">
        <v>4</v>
      </c>
      <c r="F236" t="s">
        <v>538</v>
      </c>
      <c r="G236" t="s">
        <v>539</v>
      </c>
      <c r="H236" t="s">
        <v>539</v>
      </c>
      <c r="I236">
        <v>2.44</v>
      </c>
    </row>
    <row r="237" spans="1:9" x14ac:dyDescent="0.25">
      <c r="A237" t="s">
        <v>364</v>
      </c>
      <c r="B237" t="s">
        <v>540</v>
      </c>
      <c r="C237" t="s">
        <v>537</v>
      </c>
      <c r="D237">
        <v>20251231</v>
      </c>
      <c r="E237">
        <v>0</v>
      </c>
      <c r="F237" t="s">
        <v>538</v>
      </c>
      <c r="G237" t="s">
        <v>539</v>
      </c>
      <c r="H237" t="s">
        <v>539</v>
      </c>
      <c r="I237">
        <v>21314076000</v>
      </c>
    </row>
    <row r="238" spans="1:9" x14ac:dyDescent="0.25">
      <c r="A238" t="s">
        <v>32</v>
      </c>
      <c r="B238" t="s">
        <v>541</v>
      </c>
      <c r="C238" t="s">
        <v>537</v>
      </c>
      <c r="D238">
        <v>20251231</v>
      </c>
      <c r="E238">
        <v>4</v>
      </c>
      <c r="F238" t="s">
        <v>538</v>
      </c>
      <c r="G238" t="s">
        <v>539</v>
      </c>
      <c r="H238" t="s">
        <v>539</v>
      </c>
      <c r="I238">
        <v>255784000</v>
      </c>
    </row>
    <row r="239" spans="1:9" x14ac:dyDescent="0.25">
      <c r="A239" t="s">
        <v>32</v>
      </c>
      <c r="B239" t="s">
        <v>536</v>
      </c>
      <c r="C239" t="s">
        <v>537</v>
      </c>
      <c r="D239">
        <v>20251231</v>
      </c>
      <c r="E239">
        <v>0</v>
      </c>
      <c r="F239" t="s">
        <v>538</v>
      </c>
      <c r="G239" t="s">
        <v>539</v>
      </c>
      <c r="H239" t="s">
        <v>539</v>
      </c>
      <c r="I239">
        <v>4455892000</v>
      </c>
    </row>
    <row r="240" spans="1:9" x14ac:dyDescent="0.25">
      <c r="A240" t="s">
        <v>32</v>
      </c>
      <c r="B240" t="s">
        <v>543</v>
      </c>
      <c r="C240" t="s">
        <v>537</v>
      </c>
      <c r="D240">
        <v>20251231</v>
      </c>
      <c r="E240">
        <v>4</v>
      </c>
      <c r="F240" t="s">
        <v>538</v>
      </c>
      <c r="G240" t="s">
        <v>539</v>
      </c>
      <c r="H240" t="s">
        <v>539</v>
      </c>
      <c r="I240">
        <v>77008000</v>
      </c>
    </row>
    <row r="241" spans="1:9" x14ac:dyDescent="0.25">
      <c r="A241" t="s">
        <v>352</v>
      </c>
      <c r="B241" t="s">
        <v>541</v>
      </c>
      <c r="C241" t="s">
        <v>537</v>
      </c>
      <c r="D241">
        <v>20251231</v>
      </c>
      <c r="E241">
        <v>4</v>
      </c>
      <c r="F241" t="s">
        <v>538</v>
      </c>
      <c r="G241" t="s">
        <v>539</v>
      </c>
      <c r="H241" t="s">
        <v>539</v>
      </c>
      <c r="I241">
        <v>1022400000</v>
      </c>
    </row>
    <row r="242" spans="1:9" x14ac:dyDescent="0.25">
      <c r="A242" t="s">
        <v>352</v>
      </c>
      <c r="B242" t="s">
        <v>543</v>
      </c>
      <c r="C242" t="s">
        <v>537</v>
      </c>
      <c r="D242">
        <v>20251231</v>
      </c>
      <c r="E242">
        <v>4</v>
      </c>
      <c r="F242" t="s">
        <v>538</v>
      </c>
      <c r="G242" t="s">
        <v>539</v>
      </c>
      <c r="H242" t="s">
        <v>539</v>
      </c>
      <c r="I242">
        <v>205122000</v>
      </c>
    </row>
    <row r="243" spans="1:9" x14ac:dyDescent="0.25">
      <c r="A243" t="s">
        <v>366</v>
      </c>
      <c r="B243" t="s">
        <v>542</v>
      </c>
      <c r="C243" t="s">
        <v>537</v>
      </c>
      <c r="D243">
        <v>20251231</v>
      </c>
      <c r="E243">
        <v>4</v>
      </c>
      <c r="F243" t="s">
        <v>538</v>
      </c>
      <c r="G243" t="s">
        <v>539</v>
      </c>
      <c r="H243" t="s">
        <v>539</v>
      </c>
      <c r="I243">
        <v>7.11</v>
      </c>
    </row>
    <row r="244" spans="1:9" x14ac:dyDescent="0.25">
      <c r="A244" t="s">
        <v>26</v>
      </c>
      <c r="B244" t="s">
        <v>542</v>
      </c>
      <c r="C244" t="s">
        <v>537</v>
      </c>
      <c r="D244">
        <v>20251231</v>
      </c>
      <c r="E244">
        <v>4</v>
      </c>
      <c r="F244" t="s">
        <v>538</v>
      </c>
      <c r="G244" t="s">
        <v>539</v>
      </c>
      <c r="H244" t="s">
        <v>539</v>
      </c>
      <c r="I244">
        <v>0.99</v>
      </c>
    </row>
    <row r="245" spans="1:9" x14ac:dyDescent="0.25">
      <c r="A245" t="s">
        <v>376</v>
      </c>
      <c r="B245" t="s">
        <v>544</v>
      </c>
      <c r="C245" t="s">
        <v>537</v>
      </c>
      <c r="D245">
        <v>20251231</v>
      </c>
      <c r="E245">
        <v>0</v>
      </c>
      <c r="F245" t="s">
        <v>538</v>
      </c>
      <c r="G245" t="s">
        <v>539</v>
      </c>
      <c r="H245" t="s">
        <v>539</v>
      </c>
      <c r="I245">
        <v>5918646000</v>
      </c>
    </row>
    <row r="246" spans="1:9" x14ac:dyDescent="0.25">
      <c r="A246" t="s">
        <v>28</v>
      </c>
      <c r="B246" t="s">
        <v>540</v>
      </c>
      <c r="C246" t="s">
        <v>537</v>
      </c>
      <c r="D246">
        <v>20251231</v>
      </c>
      <c r="E246">
        <v>0</v>
      </c>
      <c r="F246" t="s">
        <v>538</v>
      </c>
      <c r="G246" t="s">
        <v>539</v>
      </c>
      <c r="H246" t="s">
        <v>539</v>
      </c>
      <c r="I246">
        <v>6974584000</v>
      </c>
    </row>
    <row r="247" spans="1:9" x14ac:dyDescent="0.25">
      <c r="A247" t="s">
        <v>36</v>
      </c>
      <c r="B247" t="s">
        <v>542</v>
      </c>
      <c r="C247" t="s">
        <v>537</v>
      </c>
      <c r="D247">
        <v>20251231</v>
      </c>
      <c r="E247">
        <v>4</v>
      </c>
      <c r="F247" t="s">
        <v>538</v>
      </c>
      <c r="G247" t="s">
        <v>539</v>
      </c>
      <c r="H247" t="s">
        <v>539</v>
      </c>
      <c r="I247">
        <v>2.59</v>
      </c>
    </row>
    <row r="248" spans="1:9" x14ac:dyDescent="0.25">
      <c r="A248" t="s">
        <v>36</v>
      </c>
      <c r="B248" t="s">
        <v>543</v>
      </c>
      <c r="C248" t="s">
        <v>537</v>
      </c>
      <c r="D248">
        <v>20251231</v>
      </c>
      <c r="E248">
        <v>4</v>
      </c>
      <c r="F248" t="s">
        <v>538</v>
      </c>
      <c r="G248" t="s">
        <v>539</v>
      </c>
      <c r="H248" t="s">
        <v>539</v>
      </c>
      <c r="I248">
        <v>56248000</v>
      </c>
    </row>
    <row r="249" spans="1:9" x14ac:dyDescent="0.25">
      <c r="A249" t="s">
        <v>376</v>
      </c>
      <c r="B249" t="s">
        <v>540</v>
      </c>
      <c r="C249" t="s">
        <v>537</v>
      </c>
      <c r="D249">
        <v>20251231</v>
      </c>
      <c r="E249">
        <v>0</v>
      </c>
      <c r="F249" t="s">
        <v>538</v>
      </c>
      <c r="G249" t="s">
        <v>539</v>
      </c>
      <c r="H249" t="s">
        <v>539</v>
      </c>
      <c r="I249">
        <v>52237501000</v>
      </c>
    </row>
    <row r="250" spans="1:9" x14ac:dyDescent="0.25">
      <c r="A250" t="s">
        <v>38</v>
      </c>
      <c r="B250" t="s">
        <v>541</v>
      </c>
      <c r="C250" t="s">
        <v>537</v>
      </c>
      <c r="D250">
        <v>20251231</v>
      </c>
      <c r="E250">
        <v>4</v>
      </c>
      <c r="F250" t="s">
        <v>538</v>
      </c>
      <c r="G250" t="s">
        <v>539</v>
      </c>
      <c r="H250" t="s">
        <v>539</v>
      </c>
      <c r="I250">
        <v>99005000</v>
      </c>
    </row>
    <row r="251" spans="1:9" x14ac:dyDescent="0.25">
      <c r="A251" t="s">
        <v>350</v>
      </c>
      <c r="B251" t="s">
        <v>541</v>
      </c>
      <c r="C251" t="s">
        <v>537</v>
      </c>
      <c r="D251">
        <v>20251231</v>
      </c>
      <c r="E251">
        <v>4</v>
      </c>
      <c r="F251" t="s">
        <v>538</v>
      </c>
      <c r="G251" t="s">
        <v>539</v>
      </c>
      <c r="H251" t="s">
        <v>539</v>
      </c>
      <c r="I251">
        <v>9663000000</v>
      </c>
    </row>
    <row r="252" spans="1:9" x14ac:dyDescent="0.25">
      <c r="A252" t="s">
        <v>350</v>
      </c>
      <c r="B252" t="s">
        <v>543</v>
      </c>
      <c r="C252" t="s">
        <v>537</v>
      </c>
      <c r="D252">
        <v>20251231</v>
      </c>
      <c r="E252">
        <v>4</v>
      </c>
      <c r="F252" t="s">
        <v>538</v>
      </c>
      <c r="G252" t="s">
        <v>539</v>
      </c>
      <c r="H252" t="s">
        <v>539</v>
      </c>
      <c r="I252">
        <v>1831000000</v>
      </c>
    </row>
    <row r="253" spans="1:9" x14ac:dyDescent="0.25">
      <c r="A253" t="s">
        <v>376</v>
      </c>
      <c r="B253" t="s">
        <v>543</v>
      </c>
      <c r="C253" t="s">
        <v>537</v>
      </c>
      <c r="D253">
        <v>20251231</v>
      </c>
      <c r="E253">
        <v>4</v>
      </c>
      <c r="F253" t="s">
        <v>538</v>
      </c>
      <c r="G253" t="s">
        <v>539</v>
      </c>
      <c r="H253" t="s">
        <v>539</v>
      </c>
      <c r="I253">
        <v>577990000</v>
      </c>
    </row>
    <row r="254" spans="1:9" x14ac:dyDescent="0.25">
      <c r="A254" t="s">
        <v>368</v>
      </c>
      <c r="B254" t="s">
        <v>541</v>
      </c>
      <c r="C254" t="s">
        <v>537</v>
      </c>
      <c r="D254">
        <v>20251231</v>
      </c>
      <c r="E254">
        <v>4</v>
      </c>
      <c r="F254" t="s">
        <v>538</v>
      </c>
      <c r="G254" t="s">
        <v>539</v>
      </c>
      <c r="H254" t="s">
        <v>539</v>
      </c>
      <c r="I254">
        <v>685442000</v>
      </c>
    </row>
    <row r="255" spans="1:9" x14ac:dyDescent="0.25">
      <c r="A255" t="s">
        <v>378</v>
      </c>
      <c r="B255" t="s">
        <v>542</v>
      </c>
      <c r="C255" t="s">
        <v>537</v>
      </c>
      <c r="D255">
        <v>20251231</v>
      </c>
      <c r="E255">
        <v>4</v>
      </c>
      <c r="F255" t="s">
        <v>538</v>
      </c>
      <c r="G255" t="s">
        <v>539</v>
      </c>
      <c r="H255" t="s">
        <v>539</v>
      </c>
      <c r="I255">
        <v>2.0299999999999998</v>
      </c>
    </row>
    <row r="256" spans="1:9" x14ac:dyDescent="0.25">
      <c r="A256" t="s">
        <v>378</v>
      </c>
      <c r="B256" t="s">
        <v>543</v>
      </c>
      <c r="C256" t="s">
        <v>537</v>
      </c>
      <c r="D256">
        <v>20251231</v>
      </c>
      <c r="E256">
        <v>4</v>
      </c>
      <c r="F256" t="s">
        <v>538</v>
      </c>
      <c r="G256" t="s">
        <v>539</v>
      </c>
      <c r="H256" t="s">
        <v>539</v>
      </c>
      <c r="I256">
        <v>273715000</v>
      </c>
    </row>
    <row r="257" spans="1:9" x14ac:dyDescent="0.25">
      <c r="A257" t="s">
        <v>302</v>
      </c>
      <c r="B257" t="s">
        <v>536</v>
      </c>
      <c r="C257" t="s">
        <v>537</v>
      </c>
      <c r="D257">
        <v>20251231</v>
      </c>
      <c r="E257">
        <v>0</v>
      </c>
      <c r="F257" t="s">
        <v>538</v>
      </c>
      <c r="G257" t="s">
        <v>539</v>
      </c>
      <c r="H257" t="s">
        <v>539</v>
      </c>
      <c r="I257">
        <v>482349000000</v>
      </c>
    </row>
    <row r="258" spans="1:9" x14ac:dyDescent="0.25">
      <c r="A258" t="s">
        <v>354</v>
      </c>
      <c r="B258" t="s">
        <v>544</v>
      </c>
      <c r="C258" t="s">
        <v>537</v>
      </c>
      <c r="D258">
        <v>20251231</v>
      </c>
      <c r="E258">
        <v>0</v>
      </c>
      <c r="F258" t="s">
        <v>538</v>
      </c>
      <c r="G258" t="s">
        <v>539</v>
      </c>
      <c r="H258" t="s">
        <v>539</v>
      </c>
      <c r="I258">
        <v>22238000000</v>
      </c>
    </row>
    <row r="259" spans="1:9" x14ac:dyDescent="0.25">
      <c r="A259" t="s">
        <v>356</v>
      </c>
      <c r="B259" t="s">
        <v>542</v>
      </c>
      <c r="C259" t="s">
        <v>537</v>
      </c>
      <c r="D259">
        <v>20251231</v>
      </c>
      <c r="E259">
        <v>4</v>
      </c>
      <c r="F259" t="s">
        <v>538</v>
      </c>
      <c r="G259" t="s">
        <v>539</v>
      </c>
      <c r="H259" t="s">
        <v>539</v>
      </c>
      <c r="I259">
        <v>5.91</v>
      </c>
    </row>
    <row r="260" spans="1:9" x14ac:dyDescent="0.25">
      <c r="A260" t="s">
        <v>356</v>
      </c>
      <c r="B260" t="s">
        <v>543</v>
      </c>
      <c r="C260" t="s">
        <v>537</v>
      </c>
      <c r="D260">
        <v>20251231</v>
      </c>
      <c r="E260">
        <v>4</v>
      </c>
      <c r="F260" t="s">
        <v>538</v>
      </c>
      <c r="G260" t="s">
        <v>539</v>
      </c>
      <c r="H260" t="s">
        <v>539</v>
      </c>
      <c r="I260">
        <v>1002802000</v>
      </c>
    </row>
    <row r="261" spans="1:9" x14ac:dyDescent="0.25">
      <c r="A261" t="s">
        <v>38</v>
      </c>
      <c r="B261" t="s">
        <v>540</v>
      </c>
      <c r="C261" t="s">
        <v>537</v>
      </c>
      <c r="D261">
        <v>20251231</v>
      </c>
      <c r="E261">
        <v>0</v>
      </c>
      <c r="F261" t="s">
        <v>538</v>
      </c>
      <c r="G261" t="s">
        <v>539</v>
      </c>
      <c r="H261" t="s">
        <v>539</v>
      </c>
      <c r="I261">
        <v>1888626000</v>
      </c>
    </row>
    <row r="262" spans="1:9" x14ac:dyDescent="0.25">
      <c r="A262" t="s">
        <v>360</v>
      </c>
      <c r="B262" t="s">
        <v>540</v>
      </c>
      <c r="C262" t="s">
        <v>537</v>
      </c>
      <c r="D262">
        <v>20251231</v>
      </c>
      <c r="E262">
        <v>0</v>
      </c>
      <c r="F262" t="s">
        <v>538</v>
      </c>
      <c r="G262" t="s">
        <v>539</v>
      </c>
      <c r="H262" t="s">
        <v>539</v>
      </c>
      <c r="I262">
        <v>12668339000</v>
      </c>
    </row>
    <row r="263" spans="1:9" x14ac:dyDescent="0.25">
      <c r="A263" t="s">
        <v>360</v>
      </c>
      <c r="B263" t="s">
        <v>542</v>
      </c>
      <c r="C263" t="s">
        <v>537</v>
      </c>
      <c r="D263">
        <v>20251231</v>
      </c>
      <c r="E263">
        <v>4</v>
      </c>
      <c r="F263" t="s">
        <v>538</v>
      </c>
      <c r="G263" t="s">
        <v>539</v>
      </c>
      <c r="H263" t="s">
        <v>539</v>
      </c>
      <c r="I263">
        <v>2.68</v>
      </c>
    </row>
    <row r="264" spans="1:9" x14ac:dyDescent="0.25">
      <c r="A264" t="s">
        <v>360</v>
      </c>
      <c r="B264" t="s">
        <v>541</v>
      </c>
      <c r="C264" t="s">
        <v>537</v>
      </c>
      <c r="D264">
        <v>20251231</v>
      </c>
      <c r="E264">
        <v>4</v>
      </c>
      <c r="F264" t="s">
        <v>538</v>
      </c>
      <c r="G264" t="s">
        <v>539</v>
      </c>
      <c r="H264" t="s">
        <v>539</v>
      </c>
      <c r="I264">
        <v>557235000</v>
      </c>
    </row>
    <row r="265" spans="1:9" x14ac:dyDescent="0.25">
      <c r="A265" t="s">
        <v>380</v>
      </c>
      <c r="B265" t="s">
        <v>543</v>
      </c>
      <c r="C265" t="s">
        <v>537</v>
      </c>
      <c r="D265">
        <v>20251231</v>
      </c>
      <c r="E265">
        <v>4</v>
      </c>
      <c r="F265" t="s">
        <v>538</v>
      </c>
      <c r="G265" t="s">
        <v>539</v>
      </c>
      <c r="H265" t="s">
        <v>539</v>
      </c>
      <c r="I265">
        <v>550000000</v>
      </c>
    </row>
    <row r="266" spans="1:9" x14ac:dyDescent="0.25">
      <c r="A266" t="s">
        <v>40</v>
      </c>
      <c r="B266" t="s">
        <v>541</v>
      </c>
      <c r="C266" t="s">
        <v>537</v>
      </c>
      <c r="D266">
        <v>20251231</v>
      </c>
      <c r="E266">
        <v>4</v>
      </c>
      <c r="F266" t="s">
        <v>538</v>
      </c>
      <c r="G266" t="s">
        <v>539</v>
      </c>
      <c r="H266" t="s">
        <v>539</v>
      </c>
      <c r="I266">
        <v>97658000</v>
      </c>
    </row>
    <row r="267" spans="1:9" x14ac:dyDescent="0.25">
      <c r="A267" t="s">
        <v>358</v>
      </c>
      <c r="B267" t="s">
        <v>536</v>
      </c>
      <c r="C267" t="s">
        <v>537</v>
      </c>
      <c r="D267">
        <v>20251231</v>
      </c>
      <c r="E267">
        <v>0</v>
      </c>
      <c r="F267" t="s">
        <v>538</v>
      </c>
      <c r="G267" t="s">
        <v>539</v>
      </c>
      <c r="H267" t="s">
        <v>539</v>
      </c>
      <c r="I267">
        <v>8452220000</v>
      </c>
    </row>
    <row r="268" spans="1:9" x14ac:dyDescent="0.25">
      <c r="A268" t="s">
        <v>362</v>
      </c>
      <c r="B268" t="s">
        <v>543</v>
      </c>
      <c r="C268" t="s">
        <v>537</v>
      </c>
      <c r="D268">
        <v>20251231</v>
      </c>
      <c r="E268">
        <v>4</v>
      </c>
      <c r="F268" t="s">
        <v>538</v>
      </c>
      <c r="G268" t="s">
        <v>539</v>
      </c>
      <c r="H268" t="s">
        <v>539</v>
      </c>
      <c r="I268">
        <v>1645158000</v>
      </c>
    </row>
    <row r="269" spans="1:9" x14ac:dyDescent="0.25">
      <c r="A269" t="s">
        <v>362</v>
      </c>
      <c r="B269" t="s">
        <v>544</v>
      </c>
      <c r="C269" t="s">
        <v>537</v>
      </c>
      <c r="D269">
        <v>20251231</v>
      </c>
      <c r="E269">
        <v>0</v>
      </c>
      <c r="F269" t="s">
        <v>538</v>
      </c>
      <c r="G269" t="s">
        <v>539</v>
      </c>
      <c r="H269" t="s">
        <v>539</v>
      </c>
      <c r="I269">
        <v>15944707000</v>
      </c>
    </row>
    <row r="270" spans="1:9" x14ac:dyDescent="0.25">
      <c r="A270" t="s">
        <v>364</v>
      </c>
      <c r="B270" t="s">
        <v>543</v>
      </c>
      <c r="C270" t="s">
        <v>537</v>
      </c>
      <c r="D270">
        <v>20251231</v>
      </c>
      <c r="E270">
        <v>4</v>
      </c>
      <c r="F270" t="s">
        <v>538</v>
      </c>
      <c r="G270" t="s">
        <v>539</v>
      </c>
      <c r="H270" t="s">
        <v>539</v>
      </c>
      <c r="I270">
        <v>287349000</v>
      </c>
    </row>
    <row r="271" spans="1:9" x14ac:dyDescent="0.25">
      <c r="A271" t="s">
        <v>38</v>
      </c>
      <c r="B271" t="s">
        <v>536</v>
      </c>
      <c r="C271" t="s">
        <v>537</v>
      </c>
      <c r="D271">
        <v>20251231</v>
      </c>
      <c r="E271">
        <v>0</v>
      </c>
      <c r="F271" t="s">
        <v>538</v>
      </c>
      <c r="G271" t="s">
        <v>539</v>
      </c>
      <c r="H271" t="s">
        <v>539</v>
      </c>
      <c r="I271">
        <v>1699787000</v>
      </c>
    </row>
    <row r="272" spans="1:9" x14ac:dyDescent="0.25">
      <c r="A272" t="s">
        <v>366</v>
      </c>
      <c r="B272" t="s">
        <v>536</v>
      </c>
      <c r="C272" t="s">
        <v>537</v>
      </c>
      <c r="D272">
        <v>20251231</v>
      </c>
      <c r="E272">
        <v>0</v>
      </c>
      <c r="F272" t="s">
        <v>538</v>
      </c>
      <c r="G272" t="s">
        <v>539</v>
      </c>
      <c r="H272" t="s">
        <v>539</v>
      </c>
      <c r="I272">
        <v>2443380000000</v>
      </c>
    </row>
    <row r="273" spans="1:9" x14ac:dyDescent="0.25">
      <c r="A273" t="s">
        <v>34</v>
      </c>
      <c r="B273" t="s">
        <v>536</v>
      </c>
      <c r="C273" t="s">
        <v>537</v>
      </c>
      <c r="D273">
        <v>20251231</v>
      </c>
      <c r="E273">
        <v>0</v>
      </c>
      <c r="F273" t="s">
        <v>538</v>
      </c>
      <c r="G273" t="s">
        <v>539</v>
      </c>
      <c r="H273" t="s">
        <v>539</v>
      </c>
      <c r="I273">
        <v>1978052000</v>
      </c>
    </row>
    <row r="274" spans="1:9" x14ac:dyDescent="0.25">
      <c r="A274" t="s">
        <v>380</v>
      </c>
      <c r="B274" t="s">
        <v>542</v>
      </c>
      <c r="C274" t="s">
        <v>537</v>
      </c>
      <c r="D274">
        <v>20251231</v>
      </c>
      <c r="E274">
        <v>4</v>
      </c>
      <c r="F274" t="s">
        <v>538</v>
      </c>
      <c r="G274" t="s">
        <v>539</v>
      </c>
      <c r="H274" t="s">
        <v>539</v>
      </c>
      <c r="I274">
        <v>2.31</v>
      </c>
    </row>
    <row r="275" spans="1:9" x14ac:dyDescent="0.25">
      <c r="A275" t="s">
        <v>380</v>
      </c>
      <c r="B275" t="s">
        <v>541</v>
      </c>
      <c r="C275" t="s">
        <v>537</v>
      </c>
      <c r="D275">
        <v>20251231</v>
      </c>
      <c r="E275">
        <v>4</v>
      </c>
      <c r="F275" t="s">
        <v>538</v>
      </c>
      <c r="G275" t="s">
        <v>539</v>
      </c>
      <c r="H275" t="s">
        <v>539</v>
      </c>
      <c r="I275">
        <v>2916000000</v>
      </c>
    </row>
    <row r="276" spans="1:9" x14ac:dyDescent="0.25">
      <c r="A276" t="s">
        <v>34</v>
      </c>
      <c r="B276" t="s">
        <v>544</v>
      </c>
      <c r="C276" t="s">
        <v>537</v>
      </c>
      <c r="D276">
        <v>20251231</v>
      </c>
      <c r="E276">
        <v>0</v>
      </c>
      <c r="F276" t="s">
        <v>538</v>
      </c>
      <c r="G276" t="s">
        <v>539</v>
      </c>
      <c r="H276" t="s">
        <v>539</v>
      </c>
      <c r="I276">
        <v>231396000</v>
      </c>
    </row>
    <row r="277" spans="1:9" x14ac:dyDescent="0.25">
      <c r="A277" t="s">
        <v>368</v>
      </c>
      <c r="B277" t="s">
        <v>540</v>
      </c>
      <c r="C277" t="s">
        <v>537</v>
      </c>
      <c r="D277">
        <v>20251231</v>
      </c>
      <c r="E277">
        <v>0</v>
      </c>
      <c r="F277" t="s">
        <v>538</v>
      </c>
      <c r="G277" t="s">
        <v>539</v>
      </c>
      <c r="H277" t="s">
        <v>539</v>
      </c>
      <c r="I277">
        <v>15341631000</v>
      </c>
    </row>
    <row r="278" spans="1:9" x14ac:dyDescent="0.25">
      <c r="A278" t="s">
        <v>368</v>
      </c>
      <c r="B278" t="s">
        <v>544</v>
      </c>
      <c r="C278" t="s">
        <v>537</v>
      </c>
      <c r="D278">
        <v>20251231</v>
      </c>
      <c r="E278">
        <v>0</v>
      </c>
      <c r="F278" t="s">
        <v>538</v>
      </c>
      <c r="G278" t="s">
        <v>539</v>
      </c>
      <c r="H278" t="s">
        <v>539</v>
      </c>
      <c r="I278">
        <v>1475769000</v>
      </c>
    </row>
    <row r="279" spans="1:9" x14ac:dyDescent="0.25">
      <c r="A279" t="s">
        <v>372</v>
      </c>
      <c r="B279" t="s">
        <v>541</v>
      </c>
      <c r="C279" t="s">
        <v>537</v>
      </c>
      <c r="D279">
        <v>20251231</v>
      </c>
      <c r="E279">
        <v>4</v>
      </c>
      <c r="F279" t="s">
        <v>538</v>
      </c>
      <c r="G279" t="s">
        <v>539</v>
      </c>
      <c r="H279" t="s">
        <v>539</v>
      </c>
      <c r="I279">
        <v>1178000000</v>
      </c>
    </row>
    <row r="280" spans="1:9" x14ac:dyDescent="0.25">
      <c r="A280" t="s">
        <v>372</v>
      </c>
      <c r="B280" t="s">
        <v>536</v>
      </c>
      <c r="C280" t="s">
        <v>537</v>
      </c>
      <c r="D280">
        <v>20251231</v>
      </c>
      <c r="E280">
        <v>0</v>
      </c>
      <c r="F280" t="s">
        <v>538</v>
      </c>
      <c r="G280" t="s">
        <v>539</v>
      </c>
      <c r="H280" t="s">
        <v>539</v>
      </c>
      <c r="I280">
        <v>23193600000</v>
      </c>
    </row>
    <row r="281" spans="1:9" x14ac:dyDescent="0.25">
      <c r="A281" t="s">
        <v>372</v>
      </c>
      <c r="B281" t="s">
        <v>543</v>
      </c>
      <c r="C281" t="s">
        <v>537</v>
      </c>
      <c r="D281">
        <v>20251231</v>
      </c>
      <c r="E281">
        <v>4</v>
      </c>
      <c r="F281" t="s">
        <v>538</v>
      </c>
      <c r="G281" t="s">
        <v>539</v>
      </c>
      <c r="H281" t="s">
        <v>539</v>
      </c>
      <c r="I281">
        <v>302100000</v>
      </c>
    </row>
    <row r="282" spans="1:9" x14ac:dyDescent="0.25">
      <c r="A282" t="s">
        <v>372</v>
      </c>
      <c r="B282" t="s">
        <v>544</v>
      </c>
      <c r="C282" t="s">
        <v>537</v>
      </c>
      <c r="D282">
        <v>20251231</v>
      </c>
      <c r="E282">
        <v>0</v>
      </c>
      <c r="F282" t="s">
        <v>538</v>
      </c>
      <c r="G282" t="s">
        <v>539</v>
      </c>
      <c r="H282" t="s">
        <v>539</v>
      </c>
      <c r="I282">
        <v>3447000000</v>
      </c>
    </row>
    <row r="283" spans="1:9" x14ac:dyDescent="0.25">
      <c r="A283" t="s">
        <v>308</v>
      </c>
      <c r="B283" t="s">
        <v>543</v>
      </c>
      <c r="C283" t="s">
        <v>537</v>
      </c>
      <c r="D283">
        <v>20251231</v>
      </c>
      <c r="E283">
        <v>4</v>
      </c>
      <c r="F283" t="s">
        <v>538</v>
      </c>
      <c r="G283" t="s">
        <v>539</v>
      </c>
      <c r="H283" t="s">
        <v>539</v>
      </c>
      <c r="I283">
        <v>899000000</v>
      </c>
    </row>
    <row r="284" spans="1:9" x14ac:dyDescent="0.25">
      <c r="A284" t="s">
        <v>308</v>
      </c>
      <c r="B284" t="s">
        <v>544</v>
      </c>
      <c r="C284" t="s">
        <v>537</v>
      </c>
      <c r="D284">
        <v>20251231</v>
      </c>
      <c r="E284">
        <v>0</v>
      </c>
      <c r="F284" t="s">
        <v>538</v>
      </c>
      <c r="G284" t="s">
        <v>539</v>
      </c>
      <c r="H284" t="s">
        <v>539</v>
      </c>
      <c r="I284">
        <v>7180000000</v>
      </c>
    </row>
    <row r="285" spans="1:9" x14ac:dyDescent="0.25">
      <c r="A285" t="s">
        <v>376</v>
      </c>
      <c r="B285" t="s">
        <v>542</v>
      </c>
      <c r="C285" t="s">
        <v>537</v>
      </c>
      <c r="D285">
        <v>20251231</v>
      </c>
      <c r="E285">
        <v>4</v>
      </c>
      <c r="F285" t="s">
        <v>538</v>
      </c>
      <c r="G285" t="s">
        <v>539</v>
      </c>
      <c r="H285" t="s">
        <v>539</v>
      </c>
      <c r="I285">
        <v>9.17</v>
      </c>
    </row>
    <row r="286" spans="1:9" x14ac:dyDescent="0.25">
      <c r="A286" t="s">
        <v>376</v>
      </c>
      <c r="B286" t="s">
        <v>536</v>
      </c>
      <c r="C286" t="s">
        <v>537</v>
      </c>
      <c r="D286">
        <v>20251231</v>
      </c>
      <c r="E286">
        <v>0</v>
      </c>
      <c r="F286" t="s">
        <v>538</v>
      </c>
      <c r="G286" t="s">
        <v>539</v>
      </c>
      <c r="H286" t="s">
        <v>539</v>
      </c>
      <c r="I286">
        <v>46316821000</v>
      </c>
    </row>
    <row r="287" spans="1:9" x14ac:dyDescent="0.25">
      <c r="A287" t="s">
        <v>44</v>
      </c>
      <c r="B287" t="s">
        <v>543</v>
      </c>
      <c r="C287" t="s">
        <v>537</v>
      </c>
      <c r="D287">
        <v>20251231</v>
      </c>
      <c r="E287">
        <v>4</v>
      </c>
      <c r="F287" t="s">
        <v>538</v>
      </c>
      <c r="G287" t="s">
        <v>539</v>
      </c>
      <c r="H287" t="s">
        <v>539</v>
      </c>
      <c r="I287">
        <v>57951000</v>
      </c>
    </row>
    <row r="288" spans="1:9" x14ac:dyDescent="0.25">
      <c r="A288" t="s">
        <v>38</v>
      </c>
      <c r="B288" t="s">
        <v>542</v>
      </c>
      <c r="C288" t="s">
        <v>537</v>
      </c>
      <c r="D288">
        <v>20251231</v>
      </c>
      <c r="E288">
        <v>4</v>
      </c>
      <c r="F288" t="s">
        <v>538</v>
      </c>
      <c r="G288" t="s">
        <v>539</v>
      </c>
      <c r="H288" t="s">
        <v>539</v>
      </c>
      <c r="I288">
        <v>1.59</v>
      </c>
    </row>
    <row r="289" spans="1:9" x14ac:dyDescent="0.25">
      <c r="A289" t="s">
        <v>378</v>
      </c>
      <c r="B289" t="s">
        <v>544</v>
      </c>
      <c r="C289" t="s">
        <v>537</v>
      </c>
      <c r="D289">
        <v>20251231</v>
      </c>
      <c r="E289">
        <v>0</v>
      </c>
      <c r="F289" t="s">
        <v>538</v>
      </c>
      <c r="G289" t="s">
        <v>539</v>
      </c>
      <c r="H289" t="s">
        <v>539</v>
      </c>
      <c r="I289">
        <v>5006398000</v>
      </c>
    </row>
    <row r="290" spans="1:9" x14ac:dyDescent="0.25">
      <c r="A290" t="s">
        <v>42</v>
      </c>
      <c r="B290" t="s">
        <v>542</v>
      </c>
      <c r="C290" t="s">
        <v>537</v>
      </c>
      <c r="D290">
        <v>20251231</v>
      </c>
      <c r="E290">
        <v>4</v>
      </c>
      <c r="F290" t="s">
        <v>538</v>
      </c>
      <c r="G290" t="s">
        <v>539</v>
      </c>
      <c r="H290" t="s">
        <v>539</v>
      </c>
      <c r="I290">
        <v>8.2899999999999991</v>
      </c>
    </row>
    <row r="291" spans="1:9" x14ac:dyDescent="0.25">
      <c r="A291" t="s">
        <v>364</v>
      </c>
      <c r="B291" t="s">
        <v>544</v>
      </c>
      <c r="C291" t="s">
        <v>537</v>
      </c>
      <c r="D291">
        <v>20251231</v>
      </c>
      <c r="E291">
        <v>0</v>
      </c>
      <c r="F291" t="s">
        <v>538</v>
      </c>
      <c r="G291" t="s">
        <v>539</v>
      </c>
      <c r="H291" t="s">
        <v>539</v>
      </c>
      <c r="I291">
        <v>2738545000</v>
      </c>
    </row>
    <row r="292" spans="1:9" x14ac:dyDescent="0.25">
      <c r="A292" t="s">
        <v>380</v>
      </c>
      <c r="B292" t="s">
        <v>544</v>
      </c>
      <c r="C292" t="s">
        <v>537</v>
      </c>
      <c r="D292">
        <v>20251231</v>
      </c>
      <c r="E292">
        <v>0</v>
      </c>
      <c r="F292" t="s">
        <v>538</v>
      </c>
      <c r="G292" t="s">
        <v>539</v>
      </c>
      <c r="H292" t="s">
        <v>539</v>
      </c>
      <c r="I292">
        <v>7840000000</v>
      </c>
    </row>
    <row r="293" spans="1:9" x14ac:dyDescent="0.25">
      <c r="A293" t="s">
        <v>40</v>
      </c>
      <c r="B293" t="s">
        <v>536</v>
      </c>
      <c r="C293" t="s">
        <v>537</v>
      </c>
      <c r="D293">
        <v>20251231</v>
      </c>
      <c r="E293">
        <v>0</v>
      </c>
      <c r="F293" t="s">
        <v>538</v>
      </c>
      <c r="G293" t="s">
        <v>539</v>
      </c>
      <c r="H293" t="s">
        <v>539</v>
      </c>
      <c r="I293">
        <v>1720621000</v>
      </c>
    </row>
    <row r="294" spans="1:9" x14ac:dyDescent="0.25">
      <c r="A294" t="s">
        <v>40</v>
      </c>
      <c r="B294" t="s">
        <v>544</v>
      </c>
      <c r="C294" t="s">
        <v>537</v>
      </c>
      <c r="D294">
        <v>20251231</v>
      </c>
      <c r="E294">
        <v>0</v>
      </c>
      <c r="F294" t="s">
        <v>538</v>
      </c>
      <c r="G294" t="s">
        <v>539</v>
      </c>
      <c r="H294" t="s">
        <v>539</v>
      </c>
      <c r="I294">
        <v>174229000</v>
      </c>
    </row>
    <row r="295" spans="1:9" x14ac:dyDescent="0.25">
      <c r="A295" t="s">
        <v>34</v>
      </c>
      <c r="B295" t="s">
        <v>542</v>
      </c>
      <c r="C295" t="s">
        <v>537</v>
      </c>
      <c r="D295">
        <v>20251231</v>
      </c>
      <c r="E295">
        <v>4</v>
      </c>
      <c r="F295" t="s">
        <v>538</v>
      </c>
      <c r="G295" t="s">
        <v>539</v>
      </c>
      <c r="H295" t="s">
        <v>539</v>
      </c>
      <c r="I295">
        <v>2.56</v>
      </c>
    </row>
    <row r="296" spans="1:9" x14ac:dyDescent="0.25">
      <c r="A296" t="s">
        <v>34</v>
      </c>
      <c r="B296" t="s">
        <v>541</v>
      </c>
      <c r="C296" t="s">
        <v>537</v>
      </c>
      <c r="D296">
        <v>20251231</v>
      </c>
      <c r="E296">
        <v>4</v>
      </c>
      <c r="F296" t="s">
        <v>538</v>
      </c>
      <c r="G296" t="s">
        <v>539</v>
      </c>
      <c r="H296" t="s">
        <v>539</v>
      </c>
      <c r="I296">
        <v>96035000</v>
      </c>
    </row>
    <row r="297" spans="1:9" x14ac:dyDescent="0.25">
      <c r="A297" t="s">
        <v>386</v>
      </c>
      <c r="B297" t="s">
        <v>536</v>
      </c>
      <c r="C297" t="s">
        <v>537</v>
      </c>
      <c r="D297">
        <v>20251231</v>
      </c>
      <c r="E297">
        <v>0</v>
      </c>
      <c r="F297" t="s">
        <v>538</v>
      </c>
      <c r="G297" t="s">
        <v>539</v>
      </c>
      <c r="H297" t="s">
        <v>539</v>
      </c>
      <c r="I297">
        <v>12901767000</v>
      </c>
    </row>
    <row r="298" spans="1:9" x14ac:dyDescent="0.25">
      <c r="A298" t="s">
        <v>274</v>
      </c>
      <c r="B298" t="s">
        <v>541</v>
      </c>
      <c r="C298" t="s">
        <v>537</v>
      </c>
      <c r="D298">
        <v>20251231</v>
      </c>
      <c r="E298">
        <v>4</v>
      </c>
      <c r="F298" t="s">
        <v>538</v>
      </c>
      <c r="G298" t="s">
        <v>539</v>
      </c>
      <c r="H298" t="s">
        <v>539</v>
      </c>
      <c r="I298">
        <v>514394000</v>
      </c>
    </row>
    <row r="299" spans="1:9" x14ac:dyDescent="0.25">
      <c r="A299" t="s">
        <v>388</v>
      </c>
      <c r="B299" t="s">
        <v>543</v>
      </c>
      <c r="C299" t="s">
        <v>537</v>
      </c>
      <c r="D299">
        <v>20251231</v>
      </c>
      <c r="E299">
        <v>4</v>
      </c>
      <c r="F299" t="s">
        <v>538</v>
      </c>
      <c r="G299" t="s">
        <v>539</v>
      </c>
      <c r="H299" t="s">
        <v>539</v>
      </c>
      <c r="I299">
        <v>161071000</v>
      </c>
    </row>
    <row r="300" spans="1:9" x14ac:dyDescent="0.25">
      <c r="A300" t="s">
        <v>314</v>
      </c>
      <c r="B300" t="s">
        <v>536</v>
      </c>
      <c r="C300" t="s">
        <v>537</v>
      </c>
      <c r="D300">
        <v>20251231</v>
      </c>
      <c r="E300">
        <v>0</v>
      </c>
      <c r="F300" t="s">
        <v>538</v>
      </c>
      <c r="G300" t="s">
        <v>539</v>
      </c>
      <c r="H300" t="s">
        <v>539</v>
      </c>
      <c r="I300">
        <v>23439851000</v>
      </c>
    </row>
    <row r="301" spans="1:9" x14ac:dyDescent="0.25">
      <c r="A301" t="s">
        <v>46</v>
      </c>
      <c r="B301" t="s">
        <v>541</v>
      </c>
      <c r="C301" t="s">
        <v>537</v>
      </c>
      <c r="D301">
        <v>20251231</v>
      </c>
      <c r="E301">
        <v>4</v>
      </c>
      <c r="F301" t="s">
        <v>538</v>
      </c>
      <c r="G301" t="s">
        <v>539</v>
      </c>
      <c r="H301" t="s">
        <v>539</v>
      </c>
      <c r="I301">
        <v>126528000</v>
      </c>
    </row>
    <row r="302" spans="1:9" x14ac:dyDescent="0.25">
      <c r="A302" t="s">
        <v>390</v>
      </c>
      <c r="B302" t="s">
        <v>542</v>
      </c>
      <c r="C302" t="s">
        <v>537</v>
      </c>
      <c r="D302">
        <v>20251231</v>
      </c>
      <c r="E302">
        <v>4</v>
      </c>
      <c r="F302" t="s">
        <v>538</v>
      </c>
      <c r="G302" t="s">
        <v>539</v>
      </c>
      <c r="H302" t="s">
        <v>539</v>
      </c>
      <c r="I302">
        <v>11.57</v>
      </c>
    </row>
    <row r="303" spans="1:9" x14ac:dyDescent="0.25">
      <c r="A303" t="s">
        <v>386</v>
      </c>
      <c r="B303" t="s">
        <v>541</v>
      </c>
      <c r="C303" t="s">
        <v>537</v>
      </c>
      <c r="D303">
        <v>20251231</v>
      </c>
      <c r="E303">
        <v>4</v>
      </c>
      <c r="F303" t="s">
        <v>538</v>
      </c>
      <c r="G303" t="s">
        <v>539</v>
      </c>
      <c r="H303" t="s">
        <v>539</v>
      </c>
      <c r="I303">
        <v>642454000</v>
      </c>
    </row>
    <row r="304" spans="1:9" x14ac:dyDescent="0.25">
      <c r="A304" t="s">
        <v>390</v>
      </c>
      <c r="B304" t="s">
        <v>536</v>
      </c>
      <c r="C304" t="s">
        <v>537</v>
      </c>
      <c r="D304">
        <v>20251231</v>
      </c>
      <c r="E304">
        <v>0</v>
      </c>
      <c r="F304" t="s">
        <v>538</v>
      </c>
      <c r="G304" t="s">
        <v>539</v>
      </c>
      <c r="H304" t="s">
        <v>539</v>
      </c>
      <c r="I304">
        <v>63883331000</v>
      </c>
    </row>
    <row r="305" spans="1:9" x14ac:dyDescent="0.25">
      <c r="A305" t="s">
        <v>372</v>
      </c>
      <c r="B305" t="s">
        <v>540</v>
      </c>
      <c r="C305" t="s">
        <v>537</v>
      </c>
      <c r="D305">
        <v>20251231</v>
      </c>
      <c r="E305">
        <v>0</v>
      </c>
      <c r="F305" t="s">
        <v>538</v>
      </c>
      <c r="G305" t="s">
        <v>539</v>
      </c>
      <c r="H305" t="s">
        <v>539</v>
      </c>
      <c r="I305">
        <v>26640600000</v>
      </c>
    </row>
    <row r="306" spans="1:9" x14ac:dyDescent="0.25">
      <c r="A306" t="s">
        <v>276</v>
      </c>
      <c r="B306" t="s">
        <v>542</v>
      </c>
      <c r="C306" t="s">
        <v>537</v>
      </c>
      <c r="D306">
        <v>20251231</v>
      </c>
      <c r="E306">
        <v>4</v>
      </c>
      <c r="F306" t="s">
        <v>538</v>
      </c>
      <c r="G306" t="s">
        <v>539</v>
      </c>
      <c r="H306" t="s">
        <v>539</v>
      </c>
      <c r="I306">
        <v>3.56</v>
      </c>
    </row>
    <row r="307" spans="1:9" x14ac:dyDescent="0.25">
      <c r="A307" t="s">
        <v>316</v>
      </c>
      <c r="B307" t="s">
        <v>540</v>
      </c>
      <c r="C307" t="s">
        <v>537</v>
      </c>
      <c r="D307">
        <v>20251231</v>
      </c>
      <c r="E307">
        <v>0</v>
      </c>
      <c r="F307" t="s">
        <v>538</v>
      </c>
      <c r="G307" t="s">
        <v>539</v>
      </c>
      <c r="H307" t="s">
        <v>539</v>
      </c>
      <c r="I307">
        <v>9822063000</v>
      </c>
    </row>
    <row r="308" spans="1:9" x14ac:dyDescent="0.25">
      <c r="A308" t="s">
        <v>276</v>
      </c>
      <c r="B308" t="s">
        <v>544</v>
      </c>
      <c r="C308" t="s">
        <v>537</v>
      </c>
      <c r="D308">
        <v>20251231</v>
      </c>
      <c r="E308">
        <v>0</v>
      </c>
      <c r="F308" t="s">
        <v>538</v>
      </c>
      <c r="G308" t="s">
        <v>539</v>
      </c>
      <c r="H308" t="s">
        <v>539</v>
      </c>
      <c r="I308">
        <v>21724000000</v>
      </c>
    </row>
    <row r="309" spans="1:9" x14ac:dyDescent="0.25">
      <c r="A309" t="s">
        <v>46</v>
      </c>
      <c r="B309" t="s">
        <v>536</v>
      </c>
      <c r="C309" t="s">
        <v>537</v>
      </c>
      <c r="D309">
        <v>20251231</v>
      </c>
      <c r="E309">
        <v>0</v>
      </c>
      <c r="F309" t="s">
        <v>538</v>
      </c>
      <c r="G309" t="s">
        <v>539</v>
      </c>
      <c r="H309" t="s">
        <v>539</v>
      </c>
      <c r="I309">
        <v>2182685000</v>
      </c>
    </row>
    <row r="310" spans="1:9" x14ac:dyDescent="0.25">
      <c r="A310" t="s">
        <v>374</v>
      </c>
      <c r="B310" t="s">
        <v>542</v>
      </c>
      <c r="C310" t="s">
        <v>537</v>
      </c>
      <c r="D310">
        <v>20251231</v>
      </c>
      <c r="E310">
        <v>4</v>
      </c>
      <c r="F310" t="s">
        <v>538</v>
      </c>
      <c r="G310" t="s">
        <v>539</v>
      </c>
      <c r="H310" t="s">
        <v>539</v>
      </c>
      <c r="I310">
        <v>2</v>
      </c>
    </row>
    <row r="311" spans="1:9" x14ac:dyDescent="0.25">
      <c r="A311" t="s">
        <v>394</v>
      </c>
      <c r="B311" t="s">
        <v>542</v>
      </c>
      <c r="C311" t="s">
        <v>537</v>
      </c>
      <c r="D311">
        <v>20251231</v>
      </c>
      <c r="E311">
        <v>4</v>
      </c>
      <c r="F311" t="s">
        <v>538</v>
      </c>
      <c r="G311" t="s">
        <v>539</v>
      </c>
      <c r="H311" t="s">
        <v>539</v>
      </c>
      <c r="I311">
        <v>4.5999999999999996</v>
      </c>
    </row>
    <row r="312" spans="1:9" x14ac:dyDescent="0.25">
      <c r="A312" t="s">
        <v>42</v>
      </c>
      <c r="B312" t="s">
        <v>544</v>
      </c>
      <c r="C312" t="s">
        <v>537</v>
      </c>
      <c r="D312">
        <v>20251231</v>
      </c>
      <c r="E312">
        <v>0</v>
      </c>
      <c r="F312" t="s">
        <v>538</v>
      </c>
      <c r="G312" t="s">
        <v>539</v>
      </c>
      <c r="H312" t="s">
        <v>539</v>
      </c>
      <c r="I312">
        <v>261753000</v>
      </c>
    </row>
    <row r="313" spans="1:9" x14ac:dyDescent="0.25">
      <c r="A313" t="s">
        <v>12</v>
      </c>
      <c r="B313" t="s">
        <v>543</v>
      </c>
      <c r="C313" t="s">
        <v>537</v>
      </c>
      <c r="D313">
        <v>20251231</v>
      </c>
      <c r="E313">
        <v>4</v>
      </c>
      <c r="F313" t="s">
        <v>538</v>
      </c>
      <c r="G313" t="s">
        <v>539</v>
      </c>
      <c r="H313" t="s">
        <v>539</v>
      </c>
      <c r="I313">
        <v>11080000</v>
      </c>
    </row>
    <row r="314" spans="1:9" x14ac:dyDescent="0.25">
      <c r="A314" t="s">
        <v>324</v>
      </c>
      <c r="B314" t="s">
        <v>540</v>
      </c>
      <c r="C314" t="s">
        <v>537</v>
      </c>
      <c r="D314">
        <v>20251231</v>
      </c>
      <c r="E314">
        <v>0</v>
      </c>
      <c r="F314" t="s">
        <v>538</v>
      </c>
      <c r="G314" t="s">
        <v>539</v>
      </c>
      <c r="H314" t="s">
        <v>539</v>
      </c>
      <c r="I314">
        <v>72151967000</v>
      </c>
    </row>
    <row r="315" spans="1:9" x14ac:dyDescent="0.25">
      <c r="A315" t="s">
        <v>384</v>
      </c>
      <c r="B315" t="s">
        <v>544</v>
      </c>
      <c r="C315" t="s">
        <v>537</v>
      </c>
      <c r="D315">
        <v>20251231</v>
      </c>
      <c r="E315">
        <v>0</v>
      </c>
      <c r="F315" t="s">
        <v>538</v>
      </c>
      <c r="G315" t="s">
        <v>539</v>
      </c>
      <c r="H315" t="s">
        <v>539</v>
      </c>
      <c r="I315">
        <v>1946297000</v>
      </c>
    </row>
    <row r="316" spans="1:9" x14ac:dyDescent="0.25">
      <c r="A316" t="s">
        <v>396</v>
      </c>
      <c r="B316" t="s">
        <v>542</v>
      </c>
      <c r="C316" t="s">
        <v>537</v>
      </c>
      <c r="D316">
        <v>20251231</v>
      </c>
      <c r="E316">
        <v>4</v>
      </c>
      <c r="F316" t="s">
        <v>538</v>
      </c>
      <c r="G316" t="s">
        <v>539</v>
      </c>
      <c r="H316" t="s">
        <v>539</v>
      </c>
      <c r="I316">
        <v>1.78</v>
      </c>
    </row>
    <row r="317" spans="1:9" x14ac:dyDescent="0.25">
      <c r="A317" t="s">
        <v>326</v>
      </c>
      <c r="B317" t="s">
        <v>543</v>
      </c>
      <c r="C317" t="s">
        <v>537</v>
      </c>
      <c r="D317">
        <v>20251231</v>
      </c>
      <c r="E317">
        <v>4</v>
      </c>
      <c r="F317" t="s">
        <v>538</v>
      </c>
      <c r="G317" t="s">
        <v>539</v>
      </c>
      <c r="H317" t="s">
        <v>539</v>
      </c>
      <c r="I317">
        <v>255605000</v>
      </c>
    </row>
    <row r="318" spans="1:9" x14ac:dyDescent="0.25">
      <c r="A318" t="s">
        <v>278</v>
      </c>
      <c r="B318" t="s">
        <v>543</v>
      </c>
      <c r="C318" t="s">
        <v>537</v>
      </c>
      <c r="D318">
        <v>20251231</v>
      </c>
      <c r="E318">
        <v>4</v>
      </c>
      <c r="F318" t="s">
        <v>538</v>
      </c>
      <c r="G318" t="s">
        <v>539</v>
      </c>
      <c r="H318" t="s">
        <v>539</v>
      </c>
      <c r="I318">
        <v>7570000000</v>
      </c>
    </row>
    <row r="319" spans="1:9" x14ac:dyDescent="0.25">
      <c r="A319" t="s">
        <v>44</v>
      </c>
      <c r="B319" t="s">
        <v>542</v>
      </c>
      <c r="C319" t="s">
        <v>537</v>
      </c>
      <c r="D319">
        <v>20251231</v>
      </c>
      <c r="E319">
        <v>4</v>
      </c>
      <c r="F319" t="s">
        <v>538</v>
      </c>
      <c r="G319" t="s">
        <v>539</v>
      </c>
      <c r="H319" t="s">
        <v>539</v>
      </c>
      <c r="I319">
        <v>5.78</v>
      </c>
    </row>
    <row r="320" spans="1:9" x14ac:dyDescent="0.25">
      <c r="A320" t="s">
        <v>376</v>
      </c>
      <c r="B320" t="s">
        <v>541</v>
      </c>
      <c r="C320" t="s">
        <v>537</v>
      </c>
      <c r="D320">
        <v>20251231</v>
      </c>
      <c r="E320">
        <v>4</v>
      </c>
      <c r="F320" t="s">
        <v>538</v>
      </c>
      <c r="G320" t="s">
        <v>539</v>
      </c>
      <c r="H320" t="s">
        <v>539</v>
      </c>
      <c r="I320">
        <v>2531268000</v>
      </c>
    </row>
    <row r="321" spans="1:9" x14ac:dyDescent="0.25">
      <c r="A321" t="s">
        <v>44</v>
      </c>
      <c r="B321" t="s">
        <v>536</v>
      </c>
      <c r="C321" t="s">
        <v>537</v>
      </c>
      <c r="D321">
        <v>20251231</v>
      </c>
      <c r="E321">
        <v>0</v>
      </c>
      <c r="F321" t="s">
        <v>538</v>
      </c>
      <c r="G321" t="s">
        <v>539</v>
      </c>
      <c r="H321" t="s">
        <v>539</v>
      </c>
      <c r="I321">
        <v>2621021000</v>
      </c>
    </row>
    <row r="322" spans="1:9" x14ac:dyDescent="0.25">
      <c r="A322" t="s">
        <v>388</v>
      </c>
      <c r="B322" t="s">
        <v>540</v>
      </c>
      <c r="C322" t="s">
        <v>537</v>
      </c>
      <c r="D322">
        <v>20251231</v>
      </c>
      <c r="E322">
        <v>0</v>
      </c>
      <c r="F322" t="s">
        <v>538</v>
      </c>
      <c r="G322" t="s">
        <v>539</v>
      </c>
      <c r="H322" t="s">
        <v>539</v>
      </c>
      <c r="I322">
        <v>8668268000</v>
      </c>
    </row>
    <row r="323" spans="1:9" x14ac:dyDescent="0.25">
      <c r="A323" t="s">
        <v>334</v>
      </c>
      <c r="B323" t="s">
        <v>544</v>
      </c>
      <c r="C323" t="s">
        <v>537</v>
      </c>
      <c r="D323">
        <v>20251231</v>
      </c>
      <c r="E323">
        <v>0</v>
      </c>
      <c r="F323" t="s">
        <v>538</v>
      </c>
      <c r="G323" t="s">
        <v>539</v>
      </c>
      <c r="H323" t="s">
        <v>539</v>
      </c>
      <c r="I323">
        <v>7807698000</v>
      </c>
    </row>
    <row r="324" spans="1:9" x14ac:dyDescent="0.25">
      <c r="A324" t="s">
        <v>46</v>
      </c>
      <c r="B324" t="s">
        <v>540</v>
      </c>
      <c r="C324" t="s">
        <v>537</v>
      </c>
      <c r="D324">
        <v>20251231</v>
      </c>
      <c r="E324">
        <v>0</v>
      </c>
      <c r="F324" t="s">
        <v>538</v>
      </c>
      <c r="G324" t="s">
        <v>539</v>
      </c>
      <c r="H324" t="s">
        <v>539</v>
      </c>
      <c r="I324">
        <v>2424842000</v>
      </c>
    </row>
    <row r="325" spans="1:9" x14ac:dyDescent="0.25">
      <c r="A325" t="s">
        <v>46</v>
      </c>
      <c r="B325" t="s">
        <v>543</v>
      </c>
      <c r="C325" t="s">
        <v>537</v>
      </c>
      <c r="D325">
        <v>20251231</v>
      </c>
      <c r="E325">
        <v>4</v>
      </c>
      <c r="F325" t="s">
        <v>538</v>
      </c>
      <c r="G325" t="s">
        <v>539</v>
      </c>
      <c r="H325" t="s">
        <v>539</v>
      </c>
      <c r="I325">
        <v>27755000</v>
      </c>
    </row>
    <row r="326" spans="1:9" x14ac:dyDescent="0.25">
      <c r="A326" t="s">
        <v>280</v>
      </c>
      <c r="B326" t="s">
        <v>536</v>
      </c>
      <c r="C326" t="s">
        <v>537</v>
      </c>
      <c r="D326">
        <v>20251231</v>
      </c>
      <c r="E326">
        <v>0</v>
      </c>
      <c r="F326" t="s">
        <v>538</v>
      </c>
      <c r="G326" t="s">
        <v>539</v>
      </c>
      <c r="H326" t="s">
        <v>539</v>
      </c>
      <c r="I326">
        <v>184333000000</v>
      </c>
    </row>
    <row r="327" spans="1:9" x14ac:dyDescent="0.25">
      <c r="A327" t="s">
        <v>16</v>
      </c>
      <c r="B327" t="s">
        <v>540</v>
      </c>
      <c r="C327" t="s">
        <v>537</v>
      </c>
      <c r="D327">
        <v>20251231</v>
      </c>
      <c r="E327">
        <v>0</v>
      </c>
      <c r="F327" t="s">
        <v>538</v>
      </c>
      <c r="G327" t="s">
        <v>539</v>
      </c>
      <c r="H327" t="s">
        <v>539</v>
      </c>
      <c r="I327">
        <v>5756126000</v>
      </c>
    </row>
    <row r="328" spans="1:9" x14ac:dyDescent="0.25">
      <c r="A328" t="s">
        <v>16</v>
      </c>
      <c r="B328" t="s">
        <v>536</v>
      </c>
      <c r="C328" t="s">
        <v>537</v>
      </c>
      <c r="D328">
        <v>20251231</v>
      </c>
      <c r="E328">
        <v>0</v>
      </c>
      <c r="F328" t="s">
        <v>538</v>
      </c>
      <c r="G328" t="s">
        <v>539</v>
      </c>
      <c r="H328" t="s">
        <v>539</v>
      </c>
      <c r="I328">
        <v>5105257000</v>
      </c>
    </row>
    <row r="329" spans="1:9" x14ac:dyDescent="0.25">
      <c r="A329" t="s">
        <v>382</v>
      </c>
      <c r="B329" t="s">
        <v>544</v>
      </c>
      <c r="C329" t="s">
        <v>537</v>
      </c>
      <c r="D329">
        <v>20251231</v>
      </c>
      <c r="E329">
        <v>0</v>
      </c>
      <c r="F329" t="s">
        <v>538</v>
      </c>
      <c r="G329" t="s">
        <v>539</v>
      </c>
      <c r="H329" t="s">
        <v>539</v>
      </c>
      <c r="I329">
        <v>113616000000</v>
      </c>
    </row>
    <row r="330" spans="1:9" x14ac:dyDescent="0.25">
      <c r="A330" t="s">
        <v>18</v>
      </c>
      <c r="B330" t="s">
        <v>540</v>
      </c>
      <c r="C330" t="s">
        <v>537</v>
      </c>
      <c r="D330">
        <v>20251231</v>
      </c>
      <c r="E330">
        <v>0</v>
      </c>
      <c r="F330" t="s">
        <v>538</v>
      </c>
      <c r="G330" t="s">
        <v>539</v>
      </c>
      <c r="H330" t="s">
        <v>539</v>
      </c>
      <c r="I330">
        <v>4445862000</v>
      </c>
    </row>
    <row r="331" spans="1:9" x14ac:dyDescent="0.25">
      <c r="A331" t="s">
        <v>18</v>
      </c>
      <c r="B331" t="s">
        <v>542</v>
      </c>
      <c r="C331" t="s">
        <v>537</v>
      </c>
      <c r="D331">
        <v>20251231</v>
      </c>
      <c r="E331">
        <v>4</v>
      </c>
      <c r="F331" t="s">
        <v>538</v>
      </c>
      <c r="G331" t="s">
        <v>539</v>
      </c>
      <c r="H331" t="s">
        <v>539</v>
      </c>
      <c r="I331">
        <v>2.65</v>
      </c>
    </row>
    <row r="332" spans="1:9" x14ac:dyDescent="0.25">
      <c r="A332" t="s">
        <v>340</v>
      </c>
      <c r="B332" t="s">
        <v>542</v>
      </c>
      <c r="C332" t="s">
        <v>537</v>
      </c>
      <c r="D332">
        <v>20251231</v>
      </c>
      <c r="E332">
        <v>4</v>
      </c>
      <c r="F332" t="s">
        <v>538</v>
      </c>
      <c r="G332" t="s">
        <v>539</v>
      </c>
      <c r="H332" t="s">
        <v>539</v>
      </c>
      <c r="I332">
        <v>3.51</v>
      </c>
    </row>
    <row r="333" spans="1:9" x14ac:dyDescent="0.25">
      <c r="A333" t="s">
        <v>340</v>
      </c>
      <c r="B333" t="s">
        <v>536</v>
      </c>
      <c r="C333" t="s">
        <v>537</v>
      </c>
      <c r="D333">
        <v>20251231</v>
      </c>
      <c r="E333">
        <v>0</v>
      </c>
      <c r="F333" t="s">
        <v>538</v>
      </c>
      <c r="G333" t="s">
        <v>539</v>
      </c>
      <c r="H333" t="s">
        <v>539</v>
      </c>
      <c r="I333">
        <v>8407103000</v>
      </c>
    </row>
    <row r="334" spans="1:9" x14ac:dyDescent="0.25">
      <c r="A334" t="s">
        <v>48</v>
      </c>
      <c r="B334" t="s">
        <v>543</v>
      </c>
      <c r="C334" t="s">
        <v>537</v>
      </c>
      <c r="D334">
        <v>20251231</v>
      </c>
      <c r="E334">
        <v>4</v>
      </c>
      <c r="F334" t="s">
        <v>538</v>
      </c>
      <c r="G334" t="s">
        <v>539</v>
      </c>
      <c r="H334" t="s">
        <v>539</v>
      </c>
      <c r="I334">
        <v>-138052000</v>
      </c>
    </row>
    <row r="335" spans="1:9" x14ac:dyDescent="0.25">
      <c r="A335" t="s">
        <v>378</v>
      </c>
      <c r="B335" t="s">
        <v>540</v>
      </c>
      <c r="C335" t="s">
        <v>537</v>
      </c>
      <c r="D335">
        <v>20251231</v>
      </c>
      <c r="E335">
        <v>0</v>
      </c>
      <c r="F335" t="s">
        <v>538</v>
      </c>
      <c r="G335" t="s">
        <v>539</v>
      </c>
      <c r="H335" t="s">
        <v>539</v>
      </c>
      <c r="I335">
        <v>37585754000</v>
      </c>
    </row>
    <row r="336" spans="1:9" x14ac:dyDescent="0.25">
      <c r="A336" t="s">
        <v>48</v>
      </c>
      <c r="B336" t="s">
        <v>540</v>
      </c>
      <c r="C336" t="s">
        <v>537</v>
      </c>
      <c r="D336">
        <v>20251231</v>
      </c>
      <c r="E336">
        <v>0</v>
      </c>
      <c r="F336" t="s">
        <v>538</v>
      </c>
      <c r="G336" t="s">
        <v>539</v>
      </c>
      <c r="H336" t="s">
        <v>539</v>
      </c>
      <c r="I336">
        <v>10497203000</v>
      </c>
    </row>
    <row r="337" spans="1:9" x14ac:dyDescent="0.25">
      <c r="A337" t="s">
        <v>344</v>
      </c>
      <c r="B337" t="s">
        <v>536</v>
      </c>
      <c r="C337" t="s">
        <v>546</v>
      </c>
      <c r="D337">
        <v>20251231</v>
      </c>
      <c r="E337">
        <v>0</v>
      </c>
      <c r="F337" t="s">
        <v>538</v>
      </c>
      <c r="G337" t="s">
        <v>539</v>
      </c>
      <c r="H337" t="s">
        <v>539</v>
      </c>
      <c r="I337">
        <v>3832914000</v>
      </c>
    </row>
    <row r="338" spans="1:9" x14ac:dyDescent="0.25">
      <c r="A338" t="s">
        <v>344</v>
      </c>
      <c r="B338" t="s">
        <v>543</v>
      </c>
      <c r="C338" t="s">
        <v>546</v>
      </c>
      <c r="D338">
        <v>20251231</v>
      </c>
      <c r="E338">
        <v>4</v>
      </c>
      <c r="F338" t="s">
        <v>538</v>
      </c>
      <c r="G338" t="s">
        <v>539</v>
      </c>
      <c r="H338" t="s">
        <v>539</v>
      </c>
      <c r="I338">
        <v>61557000</v>
      </c>
    </row>
    <row r="339" spans="1:9" x14ac:dyDescent="0.25">
      <c r="A339" t="s">
        <v>394</v>
      </c>
      <c r="B339" t="s">
        <v>536</v>
      </c>
      <c r="C339" t="s">
        <v>537</v>
      </c>
      <c r="D339">
        <v>20251231</v>
      </c>
      <c r="E339">
        <v>0</v>
      </c>
      <c r="F339" t="s">
        <v>538</v>
      </c>
      <c r="G339" t="s">
        <v>539</v>
      </c>
      <c r="H339" t="s">
        <v>539</v>
      </c>
      <c r="I339">
        <v>11075652000</v>
      </c>
    </row>
    <row r="340" spans="1:9" x14ac:dyDescent="0.25">
      <c r="A340" t="s">
        <v>398</v>
      </c>
      <c r="B340" t="s">
        <v>536</v>
      </c>
      <c r="C340" t="s">
        <v>537</v>
      </c>
      <c r="D340">
        <v>20251231</v>
      </c>
      <c r="E340">
        <v>0</v>
      </c>
      <c r="F340" t="s">
        <v>538</v>
      </c>
      <c r="G340" t="s">
        <v>539</v>
      </c>
      <c r="H340" t="s">
        <v>539</v>
      </c>
      <c r="I340">
        <v>17166027000</v>
      </c>
    </row>
    <row r="341" spans="1:9" x14ac:dyDescent="0.25">
      <c r="A341" t="s">
        <v>398</v>
      </c>
      <c r="B341" t="s">
        <v>543</v>
      </c>
      <c r="C341" t="s">
        <v>537</v>
      </c>
      <c r="D341">
        <v>20251231</v>
      </c>
      <c r="E341">
        <v>4</v>
      </c>
      <c r="F341" t="s">
        <v>538</v>
      </c>
      <c r="G341" t="s">
        <v>539</v>
      </c>
      <c r="H341" t="s">
        <v>539</v>
      </c>
      <c r="I341">
        <v>344866000</v>
      </c>
    </row>
    <row r="342" spans="1:9" x14ac:dyDescent="0.25">
      <c r="A342" t="s">
        <v>380</v>
      </c>
      <c r="B342" t="s">
        <v>540</v>
      </c>
      <c r="C342" t="s">
        <v>537</v>
      </c>
      <c r="D342">
        <v>20251231</v>
      </c>
      <c r="E342">
        <v>0</v>
      </c>
      <c r="F342" t="s">
        <v>538</v>
      </c>
      <c r="G342" t="s">
        <v>539</v>
      </c>
      <c r="H342" t="s">
        <v>539</v>
      </c>
      <c r="I342">
        <v>66832000000</v>
      </c>
    </row>
    <row r="343" spans="1:9" x14ac:dyDescent="0.25">
      <c r="A343" t="s">
        <v>384</v>
      </c>
      <c r="B343" t="s">
        <v>540</v>
      </c>
      <c r="C343" t="s">
        <v>537</v>
      </c>
      <c r="D343">
        <v>20251231</v>
      </c>
      <c r="E343">
        <v>0</v>
      </c>
      <c r="F343" t="s">
        <v>538</v>
      </c>
      <c r="G343" t="s">
        <v>539</v>
      </c>
      <c r="H343" t="s">
        <v>539</v>
      </c>
      <c r="I343">
        <v>16354488000</v>
      </c>
    </row>
    <row r="344" spans="1:9" x14ac:dyDescent="0.25">
      <c r="A344" t="s">
        <v>384</v>
      </c>
      <c r="B344" t="s">
        <v>545</v>
      </c>
      <c r="C344" t="s">
        <v>537</v>
      </c>
      <c r="D344">
        <v>20251231</v>
      </c>
      <c r="E344">
        <v>4</v>
      </c>
      <c r="F344" t="s">
        <v>538</v>
      </c>
      <c r="G344" t="s">
        <v>539</v>
      </c>
      <c r="H344" t="s">
        <v>539</v>
      </c>
      <c r="I344">
        <v>804955000</v>
      </c>
    </row>
    <row r="345" spans="1:9" x14ac:dyDescent="0.25">
      <c r="A345" t="s">
        <v>396</v>
      </c>
      <c r="B345" t="s">
        <v>544</v>
      </c>
      <c r="C345" t="s">
        <v>537</v>
      </c>
      <c r="D345">
        <v>20251231</v>
      </c>
      <c r="E345">
        <v>0</v>
      </c>
      <c r="F345" t="s">
        <v>538</v>
      </c>
      <c r="G345" t="s">
        <v>539</v>
      </c>
      <c r="H345" t="s">
        <v>539</v>
      </c>
      <c r="I345">
        <v>589873000</v>
      </c>
    </row>
    <row r="346" spans="1:9" x14ac:dyDescent="0.25">
      <c r="A346" t="s">
        <v>348</v>
      </c>
      <c r="B346" t="s">
        <v>544</v>
      </c>
      <c r="C346" t="s">
        <v>537</v>
      </c>
      <c r="D346">
        <v>20251231</v>
      </c>
      <c r="E346">
        <v>0</v>
      </c>
      <c r="F346" t="s">
        <v>538</v>
      </c>
      <c r="G346" t="s">
        <v>539</v>
      </c>
      <c r="H346" t="s">
        <v>539</v>
      </c>
      <c r="I346">
        <v>543584000</v>
      </c>
    </row>
    <row r="347" spans="1:9" x14ac:dyDescent="0.25">
      <c r="A347" t="s">
        <v>402</v>
      </c>
      <c r="B347" t="s">
        <v>541</v>
      </c>
      <c r="C347" t="s">
        <v>537</v>
      </c>
      <c r="D347">
        <v>20251231</v>
      </c>
      <c r="E347">
        <v>4</v>
      </c>
      <c r="F347" t="s">
        <v>538</v>
      </c>
      <c r="G347" t="s">
        <v>539</v>
      </c>
      <c r="H347" t="s">
        <v>539</v>
      </c>
      <c r="I347">
        <v>1771785000</v>
      </c>
    </row>
    <row r="348" spans="1:9" x14ac:dyDescent="0.25">
      <c r="A348" t="s">
        <v>50</v>
      </c>
      <c r="B348" t="s">
        <v>542</v>
      </c>
      <c r="C348" t="s">
        <v>537</v>
      </c>
      <c r="D348">
        <v>20251231</v>
      </c>
      <c r="E348">
        <v>4</v>
      </c>
      <c r="F348" t="s">
        <v>538</v>
      </c>
      <c r="G348" t="s">
        <v>539</v>
      </c>
      <c r="H348" t="s">
        <v>539</v>
      </c>
      <c r="I348">
        <v>6.4</v>
      </c>
    </row>
    <row r="349" spans="1:9" x14ac:dyDescent="0.25">
      <c r="A349" t="s">
        <v>50</v>
      </c>
      <c r="B349" t="s">
        <v>536</v>
      </c>
      <c r="C349" t="s">
        <v>537</v>
      </c>
      <c r="D349">
        <v>20251231</v>
      </c>
      <c r="E349">
        <v>0</v>
      </c>
      <c r="F349" t="s">
        <v>538</v>
      </c>
      <c r="G349" t="s">
        <v>539</v>
      </c>
      <c r="H349" t="s">
        <v>539</v>
      </c>
      <c r="I349">
        <v>2985760000</v>
      </c>
    </row>
    <row r="350" spans="1:9" x14ac:dyDescent="0.25">
      <c r="A350" t="s">
        <v>398</v>
      </c>
      <c r="B350" t="s">
        <v>542</v>
      </c>
      <c r="C350" t="s">
        <v>537</v>
      </c>
      <c r="D350">
        <v>20251231</v>
      </c>
      <c r="E350">
        <v>4</v>
      </c>
      <c r="F350" t="s">
        <v>538</v>
      </c>
      <c r="G350" t="s">
        <v>539</v>
      </c>
      <c r="H350" t="s">
        <v>539</v>
      </c>
      <c r="I350">
        <v>2.16</v>
      </c>
    </row>
    <row r="351" spans="1:9" x14ac:dyDescent="0.25">
      <c r="A351" t="s">
        <v>32</v>
      </c>
      <c r="B351" t="s">
        <v>544</v>
      </c>
      <c r="C351" t="s">
        <v>537</v>
      </c>
      <c r="D351">
        <v>20251231</v>
      </c>
      <c r="E351">
        <v>0</v>
      </c>
      <c r="F351" t="s">
        <v>538</v>
      </c>
      <c r="G351" t="s">
        <v>539</v>
      </c>
      <c r="H351" t="s">
        <v>539</v>
      </c>
      <c r="I351">
        <v>615498000</v>
      </c>
    </row>
    <row r="352" spans="1:9" x14ac:dyDescent="0.25">
      <c r="A352" t="s">
        <v>352</v>
      </c>
      <c r="B352" t="s">
        <v>540</v>
      </c>
      <c r="C352" t="s">
        <v>537</v>
      </c>
      <c r="D352">
        <v>20251231</v>
      </c>
      <c r="E352">
        <v>0</v>
      </c>
      <c r="F352" t="s">
        <v>538</v>
      </c>
      <c r="G352" t="s">
        <v>539</v>
      </c>
      <c r="H352" t="s">
        <v>539</v>
      </c>
      <c r="I352">
        <v>24912896000</v>
      </c>
    </row>
    <row r="353" spans="1:9" x14ac:dyDescent="0.25">
      <c r="A353" t="s">
        <v>352</v>
      </c>
      <c r="B353" t="s">
        <v>542</v>
      </c>
      <c r="C353" t="s">
        <v>537</v>
      </c>
      <c r="D353">
        <v>20251231</v>
      </c>
      <c r="E353">
        <v>4</v>
      </c>
      <c r="F353" t="s">
        <v>538</v>
      </c>
      <c r="G353" t="s">
        <v>539</v>
      </c>
      <c r="H353" t="s">
        <v>539</v>
      </c>
      <c r="I353">
        <v>4.4400000000000004</v>
      </c>
    </row>
    <row r="354" spans="1:9" x14ac:dyDescent="0.25">
      <c r="A354" t="s">
        <v>392</v>
      </c>
      <c r="B354" t="s">
        <v>536</v>
      </c>
      <c r="C354" t="s">
        <v>537</v>
      </c>
      <c r="D354">
        <v>20251231</v>
      </c>
      <c r="E354">
        <v>0</v>
      </c>
      <c r="F354" t="s">
        <v>538</v>
      </c>
      <c r="G354" t="s">
        <v>539</v>
      </c>
      <c r="H354" t="s">
        <v>539</v>
      </c>
      <c r="I354">
        <v>15261498000</v>
      </c>
    </row>
    <row r="355" spans="1:9" x14ac:dyDescent="0.25">
      <c r="A355" t="s">
        <v>394</v>
      </c>
      <c r="B355" t="s">
        <v>540</v>
      </c>
      <c r="C355" t="s">
        <v>537</v>
      </c>
      <c r="D355">
        <v>20251231</v>
      </c>
      <c r="E355">
        <v>0</v>
      </c>
      <c r="F355" t="s">
        <v>538</v>
      </c>
      <c r="G355" t="s">
        <v>539</v>
      </c>
      <c r="H355" t="s">
        <v>539</v>
      </c>
      <c r="I355">
        <v>12465657000</v>
      </c>
    </row>
    <row r="356" spans="1:9" x14ac:dyDescent="0.25">
      <c r="A356" t="s">
        <v>394</v>
      </c>
      <c r="B356" t="s">
        <v>541</v>
      </c>
      <c r="C356" t="s">
        <v>537</v>
      </c>
      <c r="D356">
        <v>20251231</v>
      </c>
      <c r="E356">
        <v>4</v>
      </c>
      <c r="F356" t="s">
        <v>538</v>
      </c>
      <c r="G356" t="s">
        <v>539</v>
      </c>
      <c r="H356" t="s">
        <v>539</v>
      </c>
      <c r="I356">
        <v>780936000</v>
      </c>
    </row>
    <row r="357" spans="1:9" x14ac:dyDescent="0.25">
      <c r="A357" t="s">
        <v>394</v>
      </c>
      <c r="B357" t="s">
        <v>543</v>
      </c>
      <c r="C357" t="s">
        <v>537</v>
      </c>
      <c r="D357">
        <v>20251231</v>
      </c>
      <c r="E357">
        <v>4</v>
      </c>
      <c r="F357" t="s">
        <v>538</v>
      </c>
      <c r="G357" t="s">
        <v>539</v>
      </c>
      <c r="H357" t="s">
        <v>539</v>
      </c>
      <c r="I357">
        <v>205103000</v>
      </c>
    </row>
    <row r="358" spans="1:9" x14ac:dyDescent="0.25">
      <c r="A358" t="s">
        <v>354</v>
      </c>
      <c r="B358" t="s">
        <v>540</v>
      </c>
      <c r="C358" t="s">
        <v>537</v>
      </c>
      <c r="D358">
        <v>20251231</v>
      </c>
      <c r="E358">
        <v>0</v>
      </c>
      <c r="F358" t="s">
        <v>538</v>
      </c>
      <c r="G358" t="s">
        <v>539</v>
      </c>
      <c r="H358" t="s">
        <v>539</v>
      </c>
      <c r="I358">
        <v>229698000000</v>
      </c>
    </row>
    <row r="359" spans="1:9" x14ac:dyDescent="0.25">
      <c r="A359" t="s">
        <v>284</v>
      </c>
      <c r="B359" t="s">
        <v>542</v>
      </c>
      <c r="C359" t="s">
        <v>537</v>
      </c>
      <c r="D359">
        <v>20251231</v>
      </c>
      <c r="E359">
        <v>4</v>
      </c>
      <c r="F359" t="s">
        <v>538</v>
      </c>
      <c r="G359" t="s">
        <v>539</v>
      </c>
      <c r="H359" t="s">
        <v>539</v>
      </c>
      <c r="I359">
        <v>1.57</v>
      </c>
    </row>
    <row r="360" spans="1:9" x14ac:dyDescent="0.25">
      <c r="A360" t="s">
        <v>400</v>
      </c>
      <c r="B360" t="s">
        <v>542</v>
      </c>
      <c r="C360" t="s">
        <v>537</v>
      </c>
      <c r="D360">
        <v>20251231</v>
      </c>
      <c r="E360">
        <v>4</v>
      </c>
      <c r="F360" t="s">
        <v>538</v>
      </c>
      <c r="G360" t="s">
        <v>539</v>
      </c>
      <c r="H360" t="s">
        <v>539</v>
      </c>
      <c r="I360">
        <v>9.58</v>
      </c>
    </row>
    <row r="361" spans="1:9" x14ac:dyDescent="0.25">
      <c r="A361" t="s">
        <v>44</v>
      </c>
      <c r="B361" t="s">
        <v>540</v>
      </c>
      <c r="C361" t="s">
        <v>537</v>
      </c>
      <c r="D361">
        <v>20251231</v>
      </c>
      <c r="E361">
        <v>0</v>
      </c>
      <c r="F361" t="s">
        <v>538</v>
      </c>
      <c r="G361" t="s">
        <v>539</v>
      </c>
      <c r="H361" t="s">
        <v>539</v>
      </c>
      <c r="I361">
        <v>2966652000</v>
      </c>
    </row>
    <row r="362" spans="1:9" x14ac:dyDescent="0.25">
      <c r="A362" t="s">
        <v>44</v>
      </c>
      <c r="B362" t="s">
        <v>541</v>
      </c>
      <c r="C362" t="s">
        <v>537</v>
      </c>
      <c r="D362">
        <v>20251231</v>
      </c>
      <c r="E362">
        <v>4</v>
      </c>
      <c r="F362" t="s">
        <v>538</v>
      </c>
      <c r="G362" t="s">
        <v>539</v>
      </c>
      <c r="H362" t="s">
        <v>539</v>
      </c>
      <c r="I362">
        <v>173628000</v>
      </c>
    </row>
    <row r="363" spans="1:9" x14ac:dyDescent="0.25">
      <c r="A363" t="s">
        <v>44</v>
      </c>
      <c r="B363" t="s">
        <v>544</v>
      </c>
      <c r="C363" t="s">
        <v>537</v>
      </c>
      <c r="D363">
        <v>20251231</v>
      </c>
      <c r="E363">
        <v>0</v>
      </c>
      <c r="F363" t="s">
        <v>538</v>
      </c>
      <c r="G363" t="s">
        <v>539</v>
      </c>
      <c r="H363" t="s">
        <v>539</v>
      </c>
      <c r="I363">
        <v>345631000</v>
      </c>
    </row>
    <row r="364" spans="1:9" x14ac:dyDescent="0.25">
      <c r="A364" t="s">
        <v>402</v>
      </c>
      <c r="B364" t="s">
        <v>543</v>
      </c>
      <c r="C364" t="s">
        <v>537</v>
      </c>
      <c r="D364">
        <v>20251231</v>
      </c>
      <c r="E364">
        <v>4</v>
      </c>
      <c r="F364" t="s">
        <v>538</v>
      </c>
      <c r="G364" t="s">
        <v>539</v>
      </c>
      <c r="H364" t="s">
        <v>539</v>
      </c>
      <c r="I364">
        <v>330244000</v>
      </c>
    </row>
    <row r="365" spans="1:9" x14ac:dyDescent="0.25">
      <c r="A365" t="s">
        <v>286</v>
      </c>
      <c r="B365" t="s">
        <v>536</v>
      </c>
      <c r="C365" t="s">
        <v>537</v>
      </c>
      <c r="D365">
        <v>20251231</v>
      </c>
      <c r="E365">
        <v>0</v>
      </c>
      <c r="F365" t="s">
        <v>538</v>
      </c>
      <c r="G365" t="s">
        <v>539</v>
      </c>
      <c r="H365" t="s">
        <v>539</v>
      </c>
      <c r="I365">
        <v>48468388000</v>
      </c>
    </row>
    <row r="366" spans="1:9" x14ac:dyDescent="0.25">
      <c r="A366" t="s">
        <v>286</v>
      </c>
      <c r="B366" t="s">
        <v>543</v>
      </c>
      <c r="C366" t="s">
        <v>537</v>
      </c>
      <c r="D366">
        <v>20251231</v>
      </c>
      <c r="E366">
        <v>4</v>
      </c>
      <c r="F366" t="s">
        <v>538</v>
      </c>
      <c r="G366" t="s">
        <v>539</v>
      </c>
      <c r="H366" t="s">
        <v>539</v>
      </c>
      <c r="I366">
        <v>648557000</v>
      </c>
    </row>
    <row r="367" spans="1:9" x14ac:dyDescent="0.25">
      <c r="A367" t="s">
        <v>288</v>
      </c>
      <c r="B367" t="s">
        <v>543</v>
      </c>
      <c r="C367" t="s">
        <v>537</v>
      </c>
      <c r="D367">
        <v>20251231</v>
      </c>
      <c r="E367">
        <v>4</v>
      </c>
      <c r="F367" t="s">
        <v>538</v>
      </c>
      <c r="G367" t="s">
        <v>539</v>
      </c>
      <c r="H367" t="s">
        <v>539</v>
      </c>
      <c r="I367">
        <v>852000000</v>
      </c>
    </row>
    <row r="368" spans="1:9" x14ac:dyDescent="0.25">
      <c r="A368" t="s">
        <v>48</v>
      </c>
      <c r="B368" t="s">
        <v>541</v>
      </c>
      <c r="C368" t="s">
        <v>537</v>
      </c>
      <c r="D368">
        <v>20251231</v>
      </c>
      <c r="E368">
        <v>4</v>
      </c>
      <c r="F368" t="s">
        <v>538</v>
      </c>
      <c r="G368" t="s">
        <v>539</v>
      </c>
      <c r="H368" t="s">
        <v>539</v>
      </c>
      <c r="I368">
        <v>604482000</v>
      </c>
    </row>
    <row r="369" spans="1:9" x14ac:dyDescent="0.25">
      <c r="A369" t="s">
        <v>48</v>
      </c>
      <c r="B369" t="s">
        <v>544</v>
      </c>
      <c r="C369" t="s">
        <v>537</v>
      </c>
      <c r="D369">
        <v>20251231</v>
      </c>
      <c r="E369">
        <v>0</v>
      </c>
      <c r="F369" t="s">
        <v>538</v>
      </c>
      <c r="G369" t="s">
        <v>539</v>
      </c>
      <c r="H369" t="s">
        <v>539</v>
      </c>
      <c r="I369">
        <v>1131283000</v>
      </c>
    </row>
    <row r="370" spans="1:9" x14ac:dyDescent="0.25">
      <c r="A370" t="s">
        <v>404</v>
      </c>
      <c r="B370" t="s">
        <v>544</v>
      </c>
      <c r="C370" t="s">
        <v>537</v>
      </c>
      <c r="D370">
        <v>20251231</v>
      </c>
      <c r="E370">
        <v>0</v>
      </c>
      <c r="F370" t="s">
        <v>538</v>
      </c>
      <c r="G370" t="s">
        <v>539</v>
      </c>
      <c r="H370" t="s">
        <v>539</v>
      </c>
      <c r="I370">
        <v>2168401000</v>
      </c>
    </row>
    <row r="371" spans="1:9" x14ac:dyDescent="0.25">
      <c r="A371" t="s">
        <v>398</v>
      </c>
      <c r="B371" t="s">
        <v>541</v>
      </c>
      <c r="C371" t="s">
        <v>537</v>
      </c>
      <c r="D371">
        <v>20251231</v>
      </c>
      <c r="E371">
        <v>4</v>
      </c>
      <c r="F371" t="s">
        <v>538</v>
      </c>
      <c r="G371" t="s">
        <v>539</v>
      </c>
      <c r="H371" t="s">
        <v>539</v>
      </c>
      <c r="I371">
        <v>1123156000</v>
      </c>
    </row>
    <row r="372" spans="1:9" x14ac:dyDescent="0.25">
      <c r="A372" t="s">
        <v>406</v>
      </c>
      <c r="B372" t="s">
        <v>536</v>
      </c>
      <c r="C372" t="s">
        <v>537</v>
      </c>
      <c r="D372">
        <v>20251231</v>
      </c>
      <c r="E372">
        <v>0</v>
      </c>
      <c r="F372" t="s">
        <v>538</v>
      </c>
      <c r="G372" t="s">
        <v>539</v>
      </c>
      <c r="H372" t="s">
        <v>539</v>
      </c>
      <c r="I372">
        <v>58138304000</v>
      </c>
    </row>
    <row r="373" spans="1:9" x14ac:dyDescent="0.25">
      <c r="A373" t="s">
        <v>398</v>
      </c>
      <c r="B373" t="s">
        <v>544</v>
      </c>
      <c r="C373" t="s">
        <v>537</v>
      </c>
      <c r="D373">
        <v>20251231</v>
      </c>
      <c r="E373">
        <v>0</v>
      </c>
      <c r="F373" t="s">
        <v>538</v>
      </c>
      <c r="G373" t="s">
        <v>539</v>
      </c>
      <c r="H373" t="s">
        <v>539</v>
      </c>
      <c r="I373">
        <v>1966865000</v>
      </c>
    </row>
    <row r="374" spans="1:9" x14ac:dyDescent="0.25">
      <c r="A374" t="s">
        <v>404</v>
      </c>
      <c r="B374" t="s">
        <v>542</v>
      </c>
      <c r="C374" t="s">
        <v>537</v>
      </c>
      <c r="D374">
        <v>20251231</v>
      </c>
      <c r="E374">
        <v>4</v>
      </c>
      <c r="F374" t="s">
        <v>538</v>
      </c>
      <c r="G374" t="s">
        <v>539</v>
      </c>
      <c r="H374" t="s">
        <v>539</v>
      </c>
      <c r="I374">
        <v>2.64</v>
      </c>
    </row>
    <row r="375" spans="1:9" x14ac:dyDescent="0.25">
      <c r="A375" t="s">
        <v>412</v>
      </c>
      <c r="B375" t="s">
        <v>543</v>
      </c>
      <c r="C375" t="s">
        <v>537</v>
      </c>
      <c r="D375">
        <v>20251231</v>
      </c>
      <c r="E375">
        <v>4</v>
      </c>
      <c r="F375" t="s">
        <v>538</v>
      </c>
      <c r="G375" t="s">
        <v>539</v>
      </c>
      <c r="H375" t="s">
        <v>539</v>
      </c>
      <c r="I375">
        <v>46088000</v>
      </c>
    </row>
    <row r="376" spans="1:9" x14ac:dyDescent="0.25">
      <c r="A376" t="s">
        <v>414</v>
      </c>
      <c r="B376" t="s">
        <v>541</v>
      </c>
      <c r="C376" t="s">
        <v>546</v>
      </c>
      <c r="D376">
        <v>20251231</v>
      </c>
      <c r="E376">
        <v>4</v>
      </c>
      <c r="F376" t="s">
        <v>538</v>
      </c>
      <c r="G376" t="s">
        <v>539</v>
      </c>
      <c r="H376" t="s">
        <v>539</v>
      </c>
      <c r="I376">
        <v>355181000</v>
      </c>
    </row>
    <row r="377" spans="1:9" x14ac:dyDescent="0.25">
      <c r="A377" t="s">
        <v>366</v>
      </c>
      <c r="B377" t="s">
        <v>540</v>
      </c>
      <c r="C377" t="s">
        <v>537</v>
      </c>
      <c r="D377">
        <v>20251231</v>
      </c>
      <c r="E377">
        <v>0</v>
      </c>
      <c r="F377" t="s">
        <v>538</v>
      </c>
      <c r="G377" t="s">
        <v>539</v>
      </c>
      <c r="H377" t="s">
        <v>539</v>
      </c>
      <c r="I377">
        <v>2657202000000</v>
      </c>
    </row>
    <row r="378" spans="1:9" x14ac:dyDescent="0.25">
      <c r="A378" t="s">
        <v>366</v>
      </c>
      <c r="B378" t="s">
        <v>541</v>
      </c>
      <c r="C378" t="s">
        <v>537</v>
      </c>
      <c r="D378">
        <v>20251231</v>
      </c>
      <c r="E378">
        <v>4</v>
      </c>
      <c r="F378" t="s">
        <v>538</v>
      </c>
      <c r="G378" t="s">
        <v>539</v>
      </c>
      <c r="H378" t="s">
        <v>539</v>
      </c>
      <c r="I378">
        <v>142864000000</v>
      </c>
    </row>
    <row r="379" spans="1:9" x14ac:dyDescent="0.25">
      <c r="A379" t="s">
        <v>408</v>
      </c>
      <c r="B379" t="s">
        <v>536</v>
      </c>
      <c r="C379" t="s">
        <v>537</v>
      </c>
      <c r="D379">
        <v>20251231</v>
      </c>
      <c r="E379">
        <v>0</v>
      </c>
      <c r="F379" t="s">
        <v>538</v>
      </c>
      <c r="G379" t="s">
        <v>539</v>
      </c>
      <c r="H379" t="s">
        <v>539</v>
      </c>
      <c r="I379">
        <v>7512604000</v>
      </c>
    </row>
    <row r="380" spans="1:9" x14ac:dyDescent="0.25">
      <c r="A380" t="s">
        <v>410</v>
      </c>
      <c r="B380" t="s">
        <v>543</v>
      </c>
      <c r="C380" t="s">
        <v>537</v>
      </c>
      <c r="D380">
        <v>20251231</v>
      </c>
      <c r="E380">
        <v>4</v>
      </c>
      <c r="F380" t="s">
        <v>538</v>
      </c>
      <c r="G380" t="s">
        <v>539</v>
      </c>
      <c r="H380" t="s">
        <v>539</v>
      </c>
      <c r="I380">
        <v>109574000</v>
      </c>
    </row>
    <row r="381" spans="1:9" x14ac:dyDescent="0.25">
      <c r="A381" t="s">
        <v>410</v>
      </c>
      <c r="B381" t="s">
        <v>544</v>
      </c>
      <c r="C381" t="s">
        <v>537</v>
      </c>
      <c r="D381">
        <v>20251231</v>
      </c>
      <c r="E381">
        <v>0</v>
      </c>
      <c r="F381" t="s">
        <v>538</v>
      </c>
      <c r="G381" t="s">
        <v>539</v>
      </c>
      <c r="H381" t="s">
        <v>539</v>
      </c>
      <c r="I381">
        <v>1385114000</v>
      </c>
    </row>
    <row r="382" spans="1:9" x14ac:dyDescent="0.25">
      <c r="A382" t="s">
        <v>402</v>
      </c>
      <c r="B382" t="s">
        <v>540</v>
      </c>
      <c r="C382" t="s">
        <v>537</v>
      </c>
      <c r="D382">
        <v>20251231</v>
      </c>
      <c r="E382">
        <v>0</v>
      </c>
      <c r="F382" t="s">
        <v>538</v>
      </c>
      <c r="G382" t="s">
        <v>539</v>
      </c>
      <c r="H382" t="s">
        <v>539</v>
      </c>
      <c r="I382">
        <v>31540274000</v>
      </c>
    </row>
    <row r="383" spans="1:9" x14ac:dyDescent="0.25">
      <c r="A383" t="s">
        <v>402</v>
      </c>
      <c r="B383" t="s">
        <v>542</v>
      </c>
      <c r="C383" t="s">
        <v>537</v>
      </c>
      <c r="D383">
        <v>20251231</v>
      </c>
      <c r="E383">
        <v>4</v>
      </c>
      <c r="F383" t="s">
        <v>538</v>
      </c>
      <c r="G383" t="s">
        <v>539</v>
      </c>
      <c r="H383" t="s">
        <v>539</v>
      </c>
      <c r="I383">
        <v>6.86</v>
      </c>
    </row>
    <row r="384" spans="1:9" x14ac:dyDescent="0.25">
      <c r="A384" t="s">
        <v>34</v>
      </c>
      <c r="B384" t="s">
        <v>540</v>
      </c>
      <c r="C384" t="s">
        <v>537</v>
      </c>
      <c r="D384">
        <v>20251231</v>
      </c>
      <c r="E384">
        <v>0</v>
      </c>
      <c r="F384" t="s">
        <v>538</v>
      </c>
      <c r="G384" t="s">
        <v>539</v>
      </c>
      <c r="H384" t="s">
        <v>539</v>
      </c>
      <c r="I384">
        <v>2209448000</v>
      </c>
    </row>
    <row r="385" spans="1:9" x14ac:dyDescent="0.25">
      <c r="A385" t="s">
        <v>34</v>
      </c>
      <c r="B385" t="s">
        <v>543</v>
      </c>
      <c r="C385" t="s">
        <v>537</v>
      </c>
      <c r="D385">
        <v>20251231</v>
      </c>
      <c r="E385">
        <v>4</v>
      </c>
      <c r="F385" t="s">
        <v>538</v>
      </c>
      <c r="G385" t="s">
        <v>539</v>
      </c>
      <c r="H385" t="s">
        <v>539</v>
      </c>
      <c r="I385">
        <v>18910000</v>
      </c>
    </row>
    <row r="386" spans="1:9" x14ac:dyDescent="0.25">
      <c r="A386" t="s">
        <v>388</v>
      </c>
      <c r="B386" t="s">
        <v>541</v>
      </c>
      <c r="C386" t="s">
        <v>537</v>
      </c>
      <c r="D386">
        <v>20251231</v>
      </c>
      <c r="E386">
        <v>4</v>
      </c>
      <c r="F386" t="s">
        <v>538</v>
      </c>
      <c r="G386" t="s">
        <v>539</v>
      </c>
      <c r="H386" t="s">
        <v>539</v>
      </c>
      <c r="I386">
        <v>382074000</v>
      </c>
    </row>
    <row r="387" spans="1:9" x14ac:dyDescent="0.25">
      <c r="A387" t="s">
        <v>388</v>
      </c>
      <c r="B387" t="s">
        <v>536</v>
      </c>
      <c r="C387" t="s">
        <v>537</v>
      </c>
      <c r="D387">
        <v>20251231</v>
      </c>
      <c r="E387">
        <v>0</v>
      </c>
      <c r="F387" t="s">
        <v>538</v>
      </c>
      <c r="G387" t="s">
        <v>539</v>
      </c>
      <c r="H387" t="s">
        <v>539</v>
      </c>
      <c r="I387">
        <v>7729891000</v>
      </c>
    </row>
    <row r="388" spans="1:9" x14ac:dyDescent="0.25">
      <c r="A388" t="s">
        <v>414</v>
      </c>
      <c r="B388" t="s">
        <v>540</v>
      </c>
      <c r="C388" t="s">
        <v>546</v>
      </c>
      <c r="D388">
        <v>20251231</v>
      </c>
      <c r="E388">
        <v>0</v>
      </c>
      <c r="F388" t="s">
        <v>538</v>
      </c>
      <c r="G388" t="s">
        <v>539</v>
      </c>
      <c r="H388" t="s">
        <v>539</v>
      </c>
      <c r="I388">
        <v>6902675000</v>
      </c>
    </row>
    <row r="389" spans="1:9" x14ac:dyDescent="0.25">
      <c r="A389" t="s">
        <v>46</v>
      </c>
      <c r="B389" t="s">
        <v>542</v>
      </c>
      <c r="C389" t="s">
        <v>537</v>
      </c>
      <c r="D389">
        <v>20251231</v>
      </c>
      <c r="E389">
        <v>4</v>
      </c>
      <c r="F389" t="s">
        <v>538</v>
      </c>
      <c r="G389" t="s">
        <v>539</v>
      </c>
      <c r="H389" t="s">
        <v>539</v>
      </c>
      <c r="I389">
        <v>3.01</v>
      </c>
    </row>
    <row r="390" spans="1:9" x14ac:dyDescent="0.25">
      <c r="A390" t="s">
        <v>390</v>
      </c>
      <c r="B390" t="s">
        <v>540</v>
      </c>
      <c r="C390" t="s">
        <v>537</v>
      </c>
      <c r="D390">
        <v>20251231</v>
      </c>
      <c r="E390">
        <v>0</v>
      </c>
      <c r="F390" t="s">
        <v>538</v>
      </c>
      <c r="G390" t="s">
        <v>539</v>
      </c>
      <c r="H390" t="s">
        <v>539</v>
      </c>
      <c r="I390">
        <v>71142046000</v>
      </c>
    </row>
    <row r="391" spans="1:9" x14ac:dyDescent="0.25">
      <c r="A391" t="s">
        <v>368</v>
      </c>
      <c r="B391" t="s">
        <v>542</v>
      </c>
      <c r="C391" t="s">
        <v>537</v>
      </c>
      <c r="D391">
        <v>20251231</v>
      </c>
      <c r="E391">
        <v>4</v>
      </c>
      <c r="F391" t="s">
        <v>538</v>
      </c>
      <c r="G391" t="s">
        <v>539</v>
      </c>
      <c r="H391" t="s">
        <v>539</v>
      </c>
      <c r="I391">
        <v>2.36</v>
      </c>
    </row>
    <row r="392" spans="1:9" x14ac:dyDescent="0.25">
      <c r="A392" t="s">
        <v>418</v>
      </c>
      <c r="B392" t="s">
        <v>542</v>
      </c>
      <c r="C392" t="s">
        <v>546</v>
      </c>
      <c r="D392">
        <v>20251231</v>
      </c>
      <c r="E392">
        <v>4</v>
      </c>
      <c r="F392" t="s">
        <v>538</v>
      </c>
      <c r="G392" t="s">
        <v>539</v>
      </c>
      <c r="H392" t="s">
        <v>539</v>
      </c>
      <c r="I392">
        <v>3.14</v>
      </c>
    </row>
    <row r="393" spans="1:9" x14ac:dyDescent="0.25">
      <c r="A393" t="s">
        <v>404</v>
      </c>
      <c r="B393" t="s">
        <v>541</v>
      </c>
      <c r="C393" t="s">
        <v>537</v>
      </c>
      <c r="D393">
        <v>20251231</v>
      </c>
      <c r="E393">
        <v>4</v>
      </c>
      <c r="F393" t="s">
        <v>538</v>
      </c>
      <c r="G393" t="s">
        <v>539</v>
      </c>
      <c r="H393" t="s">
        <v>539</v>
      </c>
      <c r="I393">
        <v>784050000</v>
      </c>
    </row>
    <row r="394" spans="1:9" x14ac:dyDescent="0.25">
      <c r="A394" t="s">
        <v>418</v>
      </c>
      <c r="B394" t="s">
        <v>536</v>
      </c>
      <c r="C394" t="s">
        <v>546</v>
      </c>
      <c r="D394">
        <v>20251231</v>
      </c>
      <c r="E394">
        <v>0</v>
      </c>
      <c r="F394" t="s">
        <v>538</v>
      </c>
      <c r="G394" t="s">
        <v>539</v>
      </c>
      <c r="H394" t="s">
        <v>539</v>
      </c>
      <c r="I394">
        <v>3464416000</v>
      </c>
    </row>
    <row r="395" spans="1:9" x14ac:dyDescent="0.25">
      <c r="A395" t="s">
        <v>420</v>
      </c>
      <c r="B395" t="s">
        <v>544</v>
      </c>
      <c r="C395" t="s">
        <v>537</v>
      </c>
      <c r="D395">
        <v>20251231</v>
      </c>
      <c r="E395">
        <v>0</v>
      </c>
      <c r="F395" t="s">
        <v>538</v>
      </c>
      <c r="G395" t="s">
        <v>539</v>
      </c>
      <c r="H395" t="s">
        <v>539</v>
      </c>
      <c r="I395">
        <v>1112311000</v>
      </c>
    </row>
    <row r="396" spans="1:9" x14ac:dyDescent="0.25">
      <c r="A396" t="s">
        <v>392</v>
      </c>
      <c r="B396" t="s">
        <v>542</v>
      </c>
      <c r="C396" t="s">
        <v>537</v>
      </c>
      <c r="D396">
        <v>20251231</v>
      </c>
      <c r="E396">
        <v>4</v>
      </c>
      <c r="F396" t="s">
        <v>538</v>
      </c>
      <c r="G396" t="s">
        <v>539</v>
      </c>
      <c r="H396" t="s">
        <v>539</v>
      </c>
      <c r="I396">
        <v>5.34</v>
      </c>
    </row>
    <row r="397" spans="1:9" x14ac:dyDescent="0.25">
      <c r="A397" t="s">
        <v>392</v>
      </c>
      <c r="B397" t="s">
        <v>544</v>
      </c>
      <c r="C397" t="s">
        <v>537</v>
      </c>
      <c r="D397">
        <v>20251231</v>
      </c>
      <c r="E397">
        <v>0</v>
      </c>
      <c r="F397" t="s">
        <v>538</v>
      </c>
      <c r="G397" t="s">
        <v>539</v>
      </c>
      <c r="H397" t="s">
        <v>539</v>
      </c>
      <c r="I397">
        <v>2039386000</v>
      </c>
    </row>
    <row r="398" spans="1:9" x14ac:dyDescent="0.25">
      <c r="A398" t="s">
        <v>420</v>
      </c>
      <c r="B398" t="s">
        <v>541</v>
      </c>
      <c r="C398" t="s">
        <v>537</v>
      </c>
      <c r="D398">
        <v>20251231</v>
      </c>
      <c r="E398">
        <v>4</v>
      </c>
      <c r="F398" t="s">
        <v>538</v>
      </c>
      <c r="G398" t="s">
        <v>539</v>
      </c>
      <c r="H398" t="s">
        <v>539</v>
      </c>
      <c r="I398">
        <v>489426000</v>
      </c>
    </row>
    <row r="399" spans="1:9" x14ac:dyDescent="0.25">
      <c r="A399" t="s">
        <v>422</v>
      </c>
      <c r="B399" t="s">
        <v>541</v>
      </c>
      <c r="C399" t="s">
        <v>537</v>
      </c>
      <c r="D399">
        <v>20251231</v>
      </c>
      <c r="E399">
        <v>4</v>
      </c>
      <c r="F399" t="s">
        <v>538</v>
      </c>
      <c r="G399" t="s">
        <v>539</v>
      </c>
      <c r="H399" t="s">
        <v>539</v>
      </c>
      <c r="I399">
        <v>951303000</v>
      </c>
    </row>
    <row r="400" spans="1:9" x14ac:dyDescent="0.25">
      <c r="A400" t="s">
        <v>426</v>
      </c>
      <c r="B400" t="s">
        <v>540</v>
      </c>
      <c r="C400" t="s">
        <v>537</v>
      </c>
      <c r="D400">
        <v>20251231</v>
      </c>
      <c r="E400">
        <v>0</v>
      </c>
      <c r="F400" t="s">
        <v>538</v>
      </c>
      <c r="G400" t="s">
        <v>539</v>
      </c>
      <c r="H400" t="s">
        <v>539</v>
      </c>
      <c r="I400">
        <v>4506095000</v>
      </c>
    </row>
    <row r="401" spans="1:9" x14ac:dyDescent="0.25">
      <c r="A401" t="s">
        <v>426</v>
      </c>
      <c r="B401" t="s">
        <v>542</v>
      </c>
      <c r="C401" t="s">
        <v>537</v>
      </c>
      <c r="D401">
        <v>20251231</v>
      </c>
      <c r="E401">
        <v>4</v>
      </c>
      <c r="F401" t="s">
        <v>538</v>
      </c>
      <c r="G401" t="s">
        <v>539</v>
      </c>
      <c r="H401" t="s">
        <v>539</v>
      </c>
      <c r="I401">
        <v>7.23</v>
      </c>
    </row>
    <row r="402" spans="1:9" x14ac:dyDescent="0.25">
      <c r="A402" t="s">
        <v>424</v>
      </c>
      <c r="B402" t="s">
        <v>543</v>
      </c>
      <c r="C402" t="s">
        <v>537</v>
      </c>
      <c r="D402">
        <v>20251231</v>
      </c>
      <c r="E402">
        <v>4</v>
      </c>
      <c r="F402" t="s">
        <v>538</v>
      </c>
      <c r="G402" t="s">
        <v>539</v>
      </c>
      <c r="H402" t="s">
        <v>539</v>
      </c>
      <c r="I402">
        <v>218770000</v>
      </c>
    </row>
    <row r="403" spans="1:9" x14ac:dyDescent="0.25">
      <c r="A403" t="s">
        <v>426</v>
      </c>
      <c r="B403" t="s">
        <v>541</v>
      </c>
      <c r="C403" t="s">
        <v>537</v>
      </c>
      <c r="D403">
        <v>20251231</v>
      </c>
      <c r="E403">
        <v>4</v>
      </c>
      <c r="F403" t="s">
        <v>538</v>
      </c>
      <c r="G403" t="s">
        <v>539</v>
      </c>
      <c r="H403" t="s">
        <v>539</v>
      </c>
      <c r="I403">
        <v>221715000</v>
      </c>
    </row>
    <row r="404" spans="1:9" x14ac:dyDescent="0.25">
      <c r="A404" t="s">
        <v>426</v>
      </c>
      <c r="B404" t="s">
        <v>544</v>
      </c>
      <c r="C404" t="s">
        <v>537</v>
      </c>
      <c r="D404">
        <v>20251231</v>
      </c>
      <c r="E404">
        <v>0</v>
      </c>
      <c r="F404" t="s">
        <v>538</v>
      </c>
      <c r="G404" t="s">
        <v>539</v>
      </c>
      <c r="H404" t="s">
        <v>539</v>
      </c>
      <c r="I404">
        <v>643836000</v>
      </c>
    </row>
    <row r="405" spans="1:9" x14ac:dyDescent="0.25">
      <c r="A405" t="s">
        <v>370</v>
      </c>
      <c r="B405" t="s">
        <v>540</v>
      </c>
      <c r="C405" t="s">
        <v>537</v>
      </c>
      <c r="D405">
        <v>20251231</v>
      </c>
      <c r="E405">
        <v>0</v>
      </c>
      <c r="F405" t="s">
        <v>538</v>
      </c>
      <c r="G405" t="s">
        <v>539</v>
      </c>
      <c r="H405" t="s">
        <v>539</v>
      </c>
      <c r="I405">
        <v>28002554000</v>
      </c>
    </row>
    <row r="406" spans="1:9" x14ac:dyDescent="0.25">
      <c r="A406" t="s">
        <v>370</v>
      </c>
      <c r="B406" t="s">
        <v>536</v>
      </c>
      <c r="C406" t="s">
        <v>537</v>
      </c>
      <c r="D406">
        <v>20251231</v>
      </c>
      <c r="E406">
        <v>0</v>
      </c>
      <c r="F406" t="s">
        <v>538</v>
      </c>
      <c r="G406" t="s">
        <v>539</v>
      </c>
      <c r="H406" t="s">
        <v>539</v>
      </c>
      <c r="I406">
        <v>24363868000</v>
      </c>
    </row>
    <row r="407" spans="1:9" x14ac:dyDescent="0.25">
      <c r="A407" t="s">
        <v>428</v>
      </c>
      <c r="B407" t="s">
        <v>544</v>
      </c>
      <c r="C407" t="s">
        <v>537</v>
      </c>
      <c r="D407">
        <v>20251231</v>
      </c>
      <c r="E407">
        <v>0</v>
      </c>
      <c r="F407" t="s">
        <v>538</v>
      </c>
      <c r="G407" t="s">
        <v>539</v>
      </c>
      <c r="H407" t="s">
        <v>539</v>
      </c>
      <c r="I407">
        <v>2006034000</v>
      </c>
    </row>
    <row r="408" spans="1:9" x14ac:dyDescent="0.25">
      <c r="A408" t="s">
        <v>396</v>
      </c>
      <c r="B408" t="s">
        <v>543</v>
      </c>
      <c r="C408" t="s">
        <v>537</v>
      </c>
      <c r="D408">
        <v>20251231</v>
      </c>
      <c r="E408">
        <v>4</v>
      </c>
      <c r="F408" t="s">
        <v>538</v>
      </c>
      <c r="G408" t="s">
        <v>539</v>
      </c>
      <c r="H408" t="s">
        <v>539</v>
      </c>
      <c r="I408">
        <v>59506000</v>
      </c>
    </row>
    <row r="409" spans="1:9" x14ac:dyDescent="0.25">
      <c r="A409" t="s">
        <v>372</v>
      </c>
      <c r="B409" t="s">
        <v>542</v>
      </c>
      <c r="C409" t="s">
        <v>537</v>
      </c>
      <c r="D409">
        <v>20251231</v>
      </c>
      <c r="E409">
        <v>4</v>
      </c>
      <c r="F409" t="s">
        <v>538</v>
      </c>
      <c r="G409" t="s">
        <v>539</v>
      </c>
      <c r="H409" t="s">
        <v>539</v>
      </c>
      <c r="I409">
        <v>2.95</v>
      </c>
    </row>
    <row r="410" spans="1:9" x14ac:dyDescent="0.25">
      <c r="A410" t="s">
        <v>408</v>
      </c>
      <c r="B410" t="s">
        <v>540</v>
      </c>
      <c r="C410" t="s">
        <v>537</v>
      </c>
      <c r="D410">
        <v>20251231</v>
      </c>
      <c r="E410">
        <v>0</v>
      </c>
      <c r="F410" t="s">
        <v>538</v>
      </c>
      <c r="G410" t="s">
        <v>539</v>
      </c>
      <c r="H410" t="s">
        <v>539</v>
      </c>
      <c r="I410">
        <v>8255716000</v>
      </c>
    </row>
    <row r="411" spans="1:9" x14ac:dyDescent="0.25">
      <c r="A411" t="s">
        <v>408</v>
      </c>
      <c r="B411" t="s">
        <v>542</v>
      </c>
      <c r="C411" t="s">
        <v>537</v>
      </c>
      <c r="D411">
        <v>20251231</v>
      </c>
      <c r="E411">
        <v>4</v>
      </c>
      <c r="F411" t="s">
        <v>538</v>
      </c>
      <c r="G411" t="s">
        <v>539</v>
      </c>
      <c r="H411" t="s">
        <v>539</v>
      </c>
      <c r="I411">
        <v>6.71</v>
      </c>
    </row>
    <row r="412" spans="1:9" x14ac:dyDescent="0.25">
      <c r="A412" t="s">
        <v>408</v>
      </c>
      <c r="B412" t="s">
        <v>541</v>
      </c>
      <c r="C412" t="s">
        <v>537</v>
      </c>
      <c r="D412">
        <v>20251231</v>
      </c>
      <c r="E412">
        <v>4</v>
      </c>
      <c r="F412" t="s">
        <v>538</v>
      </c>
      <c r="G412" t="s">
        <v>539</v>
      </c>
      <c r="H412" t="s">
        <v>539</v>
      </c>
      <c r="I412">
        <v>515278000</v>
      </c>
    </row>
    <row r="413" spans="1:9" x14ac:dyDescent="0.25">
      <c r="A413" t="s">
        <v>374</v>
      </c>
      <c r="B413" t="s">
        <v>540</v>
      </c>
      <c r="C413" t="s">
        <v>537</v>
      </c>
      <c r="D413">
        <v>20251231</v>
      </c>
      <c r="E413">
        <v>0</v>
      </c>
      <c r="F413" t="s">
        <v>538</v>
      </c>
      <c r="G413" t="s">
        <v>539</v>
      </c>
      <c r="H413" t="s">
        <v>539</v>
      </c>
      <c r="I413">
        <v>31978063000</v>
      </c>
    </row>
    <row r="414" spans="1:9" x14ac:dyDescent="0.25">
      <c r="A414" t="s">
        <v>56</v>
      </c>
      <c r="B414" t="s">
        <v>540</v>
      </c>
      <c r="C414" t="s">
        <v>546</v>
      </c>
      <c r="D414">
        <v>20251231</v>
      </c>
      <c r="E414">
        <v>0</v>
      </c>
      <c r="F414" t="s">
        <v>538</v>
      </c>
      <c r="G414" t="s">
        <v>539</v>
      </c>
      <c r="H414" t="s">
        <v>539</v>
      </c>
      <c r="I414">
        <v>8693302000</v>
      </c>
    </row>
    <row r="415" spans="1:9" x14ac:dyDescent="0.25">
      <c r="A415" t="s">
        <v>56</v>
      </c>
      <c r="B415" t="s">
        <v>543</v>
      </c>
      <c r="C415" t="s">
        <v>546</v>
      </c>
      <c r="D415">
        <v>20251231</v>
      </c>
      <c r="E415">
        <v>4</v>
      </c>
      <c r="F415" t="s">
        <v>538</v>
      </c>
      <c r="G415" t="s">
        <v>539</v>
      </c>
      <c r="H415" t="s">
        <v>539</v>
      </c>
      <c r="I415">
        <v>18880000</v>
      </c>
    </row>
    <row r="416" spans="1:9" x14ac:dyDescent="0.25">
      <c r="A416" t="s">
        <v>410</v>
      </c>
      <c r="B416" t="s">
        <v>540</v>
      </c>
      <c r="C416" t="s">
        <v>537</v>
      </c>
      <c r="D416">
        <v>20251231</v>
      </c>
      <c r="E416">
        <v>0</v>
      </c>
      <c r="F416" t="s">
        <v>538</v>
      </c>
      <c r="G416" t="s">
        <v>539</v>
      </c>
      <c r="H416" t="s">
        <v>539</v>
      </c>
      <c r="I416">
        <v>9883518000</v>
      </c>
    </row>
    <row r="417" spans="1:9" x14ac:dyDescent="0.25">
      <c r="A417" t="s">
        <v>58</v>
      </c>
      <c r="B417" t="s">
        <v>541</v>
      </c>
      <c r="C417" t="s">
        <v>537</v>
      </c>
      <c r="D417">
        <v>20251231</v>
      </c>
      <c r="E417">
        <v>4</v>
      </c>
      <c r="F417" t="s">
        <v>538</v>
      </c>
      <c r="G417" t="s">
        <v>539</v>
      </c>
      <c r="H417" t="s">
        <v>539</v>
      </c>
      <c r="I417">
        <v>313732000</v>
      </c>
    </row>
    <row r="418" spans="1:9" x14ac:dyDescent="0.25">
      <c r="A418" t="s">
        <v>54</v>
      </c>
      <c r="B418" t="s">
        <v>542</v>
      </c>
      <c r="C418" t="s">
        <v>537</v>
      </c>
      <c r="D418">
        <v>20251231</v>
      </c>
      <c r="E418">
        <v>4</v>
      </c>
      <c r="F418" t="s">
        <v>538</v>
      </c>
      <c r="G418" t="s">
        <v>539</v>
      </c>
      <c r="H418" t="s">
        <v>539</v>
      </c>
      <c r="I418">
        <v>1.46</v>
      </c>
    </row>
    <row r="419" spans="1:9" x14ac:dyDescent="0.25">
      <c r="A419" t="s">
        <v>54</v>
      </c>
      <c r="B419" t="s">
        <v>541</v>
      </c>
      <c r="C419" t="s">
        <v>537</v>
      </c>
      <c r="D419">
        <v>20251231</v>
      </c>
      <c r="E419">
        <v>4</v>
      </c>
      <c r="F419" t="s">
        <v>538</v>
      </c>
      <c r="G419" t="s">
        <v>539</v>
      </c>
      <c r="H419" t="s">
        <v>539</v>
      </c>
      <c r="I419">
        <v>139217000</v>
      </c>
    </row>
    <row r="420" spans="1:9" x14ac:dyDescent="0.25">
      <c r="A420" t="s">
        <v>56</v>
      </c>
      <c r="B420" t="s">
        <v>542</v>
      </c>
      <c r="C420" t="s">
        <v>546</v>
      </c>
      <c r="D420">
        <v>20251231</v>
      </c>
      <c r="E420">
        <v>4</v>
      </c>
      <c r="F420" t="s">
        <v>538</v>
      </c>
      <c r="G420" t="s">
        <v>539</v>
      </c>
      <c r="H420" t="s">
        <v>539</v>
      </c>
      <c r="I420">
        <v>0.54</v>
      </c>
    </row>
    <row r="421" spans="1:9" x14ac:dyDescent="0.25">
      <c r="A421" t="s">
        <v>56</v>
      </c>
      <c r="B421" t="s">
        <v>544</v>
      </c>
      <c r="C421" t="s">
        <v>546</v>
      </c>
      <c r="D421">
        <v>20251231</v>
      </c>
      <c r="E421">
        <v>0</v>
      </c>
      <c r="F421" t="s">
        <v>538</v>
      </c>
      <c r="G421" t="s">
        <v>539</v>
      </c>
      <c r="H421" t="s">
        <v>539</v>
      </c>
      <c r="I421">
        <v>707975000</v>
      </c>
    </row>
    <row r="422" spans="1:9" x14ac:dyDescent="0.25">
      <c r="A422" t="s">
        <v>58</v>
      </c>
      <c r="B422" t="s">
        <v>544</v>
      </c>
      <c r="C422" t="s">
        <v>537</v>
      </c>
      <c r="D422">
        <v>20251231</v>
      </c>
      <c r="E422">
        <v>0</v>
      </c>
      <c r="F422" t="s">
        <v>538</v>
      </c>
      <c r="G422" t="s">
        <v>539</v>
      </c>
      <c r="H422" t="s">
        <v>539</v>
      </c>
      <c r="I422">
        <v>636126000</v>
      </c>
    </row>
    <row r="423" spans="1:9" x14ac:dyDescent="0.25">
      <c r="A423" t="s">
        <v>412</v>
      </c>
      <c r="B423" t="s">
        <v>536</v>
      </c>
      <c r="C423" t="s">
        <v>537</v>
      </c>
      <c r="D423">
        <v>20251231</v>
      </c>
      <c r="E423">
        <v>0</v>
      </c>
      <c r="F423" t="s">
        <v>538</v>
      </c>
      <c r="G423" t="s">
        <v>539</v>
      </c>
      <c r="H423" t="s">
        <v>539</v>
      </c>
      <c r="I423">
        <v>4889907000</v>
      </c>
    </row>
    <row r="424" spans="1:9" x14ac:dyDescent="0.25">
      <c r="A424" t="s">
        <v>36</v>
      </c>
      <c r="B424" t="s">
        <v>540</v>
      </c>
      <c r="C424" t="s">
        <v>537</v>
      </c>
      <c r="D424">
        <v>20251231</v>
      </c>
      <c r="E424">
        <v>0</v>
      </c>
      <c r="F424" t="s">
        <v>538</v>
      </c>
      <c r="G424" t="s">
        <v>539</v>
      </c>
      <c r="H424" t="s">
        <v>539</v>
      </c>
      <c r="I424">
        <v>6133896000</v>
      </c>
    </row>
    <row r="425" spans="1:9" x14ac:dyDescent="0.25">
      <c r="A425" t="s">
        <v>36</v>
      </c>
      <c r="B425" t="s">
        <v>541</v>
      </c>
      <c r="C425" t="s">
        <v>537</v>
      </c>
      <c r="D425">
        <v>20251231</v>
      </c>
      <c r="E425">
        <v>4</v>
      </c>
      <c r="F425" t="s">
        <v>538</v>
      </c>
      <c r="G425" t="s">
        <v>539</v>
      </c>
      <c r="H425" t="s">
        <v>539</v>
      </c>
      <c r="I425">
        <v>323770000</v>
      </c>
    </row>
    <row r="426" spans="1:9" x14ac:dyDescent="0.25">
      <c r="A426" t="s">
        <v>38</v>
      </c>
      <c r="B426" t="s">
        <v>543</v>
      </c>
      <c r="C426" t="s">
        <v>537</v>
      </c>
      <c r="D426">
        <v>20251231</v>
      </c>
      <c r="E426">
        <v>4</v>
      </c>
      <c r="F426" t="s">
        <v>538</v>
      </c>
      <c r="G426" t="s">
        <v>539</v>
      </c>
      <c r="H426" t="s">
        <v>539</v>
      </c>
      <c r="I426">
        <v>8214000</v>
      </c>
    </row>
    <row r="427" spans="1:9" x14ac:dyDescent="0.25">
      <c r="A427" t="s">
        <v>62</v>
      </c>
      <c r="B427" t="s">
        <v>542</v>
      </c>
      <c r="C427" t="s">
        <v>537</v>
      </c>
      <c r="D427">
        <v>20251231</v>
      </c>
      <c r="E427">
        <v>4</v>
      </c>
      <c r="F427" t="s">
        <v>538</v>
      </c>
      <c r="G427" t="s">
        <v>539</v>
      </c>
      <c r="H427" t="s">
        <v>539</v>
      </c>
      <c r="I427">
        <v>2.3199999999999998</v>
      </c>
    </row>
    <row r="428" spans="1:9" x14ac:dyDescent="0.25">
      <c r="A428" t="s">
        <v>270</v>
      </c>
      <c r="B428" t="s">
        <v>544</v>
      </c>
      <c r="C428" t="s">
        <v>537</v>
      </c>
      <c r="D428">
        <v>20251231</v>
      </c>
      <c r="E428">
        <v>0</v>
      </c>
      <c r="F428" t="s">
        <v>538</v>
      </c>
      <c r="G428" t="s">
        <v>539</v>
      </c>
      <c r="H428" t="s">
        <v>539</v>
      </c>
      <c r="I428">
        <v>4975347000</v>
      </c>
    </row>
    <row r="429" spans="1:9" x14ac:dyDescent="0.25">
      <c r="A429" t="s">
        <v>378</v>
      </c>
      <c r="B429" t="s">
        <v>541</v>
      </c>
      <c r="C429" t="s">
        <v>537</v>
      </c>
      <c r="D429">
        <v>20251231</v>
      </c>
      <c r="E429">
        <v>4</v>
      </c>
      <c r="F429" t="s">
        <v>538</v>
      </c>
      <c r="G429" t="s">
        <v>539</v>
      </c>
      <c r="H429" t="s">
        <v>539</v>
      </c>
      <c r="I429">
        <v>1821487000</v>
      </c>
    </row>
    <row r="430" spans="1:9" x14ac:dyDescent="0.25">
      <c r="A430" t="s">
        <v>378</v>
      </c>
      <c r="B430" t="s">
        <v>536</v>
      </c>
      <c r="C430" t="s">
        <v>537</v>
      </c>
      <c r="D430">
        <v>20251231</v>
      </c>
      <c r="E430">
        <v>0</v>
      </c>
      <c r="F430" t="s">
        <v>538</v>
      </c>
      <c r="G430" t="s">
        <v>539</v>
      </c>
      <c r="H430" t="s">
        <v>539</v>
      </c>
      <c r="I430">
        <v>32579356000</v>
      </c>
    </row>
    <row r="431" spans="1:9" x14ac:dyDescent="0.25">
      <c r="A431" t="s">
        <v>68</v>
      </c>
      <c r="B431" t="s">
        <v>540</v>
      </c>
      <c r="C431" t="s">
        <v>537</v>
      </c>
      <c r="D431">
        <v>20251231</v>
      </c>
      <c r="E431">
        <v>0</v>
      </c>
      <c r="F431" t="s">
        <v>538</v>
      </c>
      <c r="G431" t="s">
        <v>539</v>
      </c>
      <c r="H431" t="s">
        <v>539</v>
      </c>
      <c r="I431">
        <v>5270578000</v>
      </c>
    </row>
    <row r="432" spans="1:9" x14ac:dyDescent="0.25">
      <c r="A432" t="s">
        <v>422</v>
      </c>
      <c r="B432" t="s">
        <v>540</v>
      </c>
      <c r="C432" t="s">
        <v>537</v>
      </c>
      <c r="D432">
        <v>20251231</v>
      </c>
      <c r="E432">
        <v>0</v>
      </c>
      <c r="F432" t="s">
        <v>538</v>
      </c>
      <c r="G432" t="s">
        <v>539</v>
      </c>
      <c r="H432" t="s">
        <v>539</v>
      </c>
      <c r="I432">
        <v>23955252000</v>
      </c>
    </row>
    <row r="433" spans="1:9" x14ac:dyDescent="0.25">
      <c r="A433" t="s">
        <v>66</v>
      </c>
      <c r="B433" t="s">
        <v>543</v>
      </c>
      <c r="C433" t="s">
        <v>537</v>
      </c>
      <c r="D433">
        <v>20251231</v>
      </c>
      <c r="E433">
        <v>4</v>
      </c>
      <c r="F433" t="s">
        <v>538</v>
      </c>
      <c r="G433" t="s">
        <v>539</v>
      </c>
      <c r="H433" t="s">
        <v>539</v>
      </c>
      <c r="I433">
        <v>7488000</v>
      </c>
    </row>
    <row r="434" spans="1:9" x14ac:dyDescent="0.25">
      <c r="A434" t="s">
        <v>424</v>
      </c>
      <c r="B434" t="s">
        <v>541</v>
      </c>
      <c r="C434" t="s">
        <v>537</v>
      </c>
      <c r="D434">
        <v>20251231</v>
      </c>
      <c r="E434">
        <v>4</v>
      </c>
      <c r="F434" t="s">
        <v>538</v>
      </c>
      <c r="G434" t="s">
        <v>539</v>
      </c>
      <c r="H434" t="s">
        <v>539</v>
      </c>
      <c r="I434">
        <v>1200851000</v>
      </c>
    </row>
    <row r="435" spans="1:9" x14ac:dyDescent="0.25">
      <c r="A435" t="s">
        <v>424</v>
      </c>
      <c r="B435" t="s">
        <v>544</v>
      </c>
      <c r="C435" t="s">
        <v>537</v>
      </c>
      <c r="D435">
        <v>20251231</v>
      </c>
      <c r="E435">
        <v>0</v>
      </c>
      <c r="F435" t="s">
        <v>538</v>
      </c>
      <c r="G435" t="s">
        <v>539</v>
      </c>
      <c r="H435" t="s">
        <v>539</v>
      </c>
      <c r="I435">
        <v>2280759000</v>
      </c>
    </row>
    <row r="436" spans="1:9" x14ac:dyDescent="0.25">
      <c r="A436" t="s">
        <v>68</v>
      </c>
      <c r="B436" t="s">
        <v>541</v>
      </c>
      <c r="C436" t="s">
        <v>537</v>
      </c>
      <c r="D436">
        <v>20251231</v>
      </c>
      <c r="E436">
        <v>4</v>
      </c>
      <c r="F436" t="s">
        <v>538</v>
      </c>
      <c r="G436" t="s">
        <v>539</v>
      </c>
      <c r="H436" t="s">
        <v>539</v>
      </c>
      <c r="I436">
        <v>259697000</v>
      </c>
    </row>
    <row r="437" spans="1:9" x14ac:dyDescent="0.25">
      <c r="A437" t="s">
        <v>68</v>
      </c>
      <c r="B437" t="s">
        <v>536</v>
      </c>
      <c r="C437" t="s">
        <v>537</v>
      </c>
      <c r="D437">
        <v>20251231</v>
      </c>
      <c r="E437">
        <v>0</v>
      </c>
      <c r="F437" t="s">
        <v>538</v>
      </c>
      <c r="G437" t="s">
        <v>539</v>
      </c>
      <c r="H437" t="s">
        <v>539</v>
      </c>
      <c r="I437">
        <v>4750731000</v>
      </c>
    </row>
    <row r="438" spans="1:9" x14ac:dyDescent="0.25">
      <c r="A438" t="s">
        <v>68</v>
      </c>
      <c r="B438" t="s">
        <v>544</v>
      </c>
      <c r="C438" t="s">
        <v>537</v>
      </c>
      <c r="D438">
        <v>20251231</v>
      </c>
      <c r="E438">
        <v>0</v>
      </c>
      <c r="F438" t="s">
        <v>538</v>
      </c>
      <c r="G438" t="s">
        <v>539</v>
      </c>
      <c r="H438" t="s">
        <v>539</v>
      </c>
      <c r="I438">
        <v>519847000</v>
      </c>
    </row>
    <row r="439" spans="1:9" x14ac:dyDescent="0.25">
      <c r="A439" t="s">
        <v>426</v>
      </c>
      <c r="B439" t="s">
        <v>536</v>
      </c>
      <c r="C439" t="s">
        <v>537</v>
      </c>
      <c r="D439">
        <v>20251231</v>
      </c>
      <c r="E439">
        <v>0</v>
      </c>
      <c r="F439" t="s">
        <v>538</v>
      </c>
      <c r="G439" t="s">
        <v>539</v>
      </c>
      <c r="H439" t="s">
        <v>539</v>
      </c>
      <c r="I439">
        <v>3862259000</v>
      </c>
    </row>
    <row r="440" spans="1:9" x14ac:dyDescent="0.25">
      <c r="A440" t="s">
        <v>70</v>
      </c>
      <c r="B440" t="s">
        <v>536</v>
      </c>
      <c r="C440" t="s">
        <v>537</v>
      </c>
      <c r="D440">
        <v>20251231</v>
      </c>
      <c r="E440">
        <v>0</v>
      </c>
      <c r="F440" t="s">
        <v>538</v>
      </c>
      <c r="G440" t="s">
        <v>539</v>
      </c>
      <c r="H440" t="s">
        <v>539</v>
      </c>
      <c r="I440">
        <v>2375013000</v>
      </c>
    </row>
    <row r="441" spans="1:9" x14ac:dyDescent="0.25">
      <c r="A441" t="s">
        <v>72</v>
      </c>
      <c r="B441" t="s">
        <v>542</v>
      </c>
      <c r="C441" t="s">
        <v>537</v>
      </c>
      <c r="D441">
        <v>20251231</v>
      </c>
      <c r="E441">
        <v>4</v>
      </c>
      <c r="F441" t="s">
        <v>538</v>
      </c>
      <c r="G441" t="s">
        <v>539</v>
      </c>
      <c r="H441" t="s">
        <v>539</v>
      </c>
      <c r="I441">
        <v>-1.88</v>
      </c>
    </row>
    <row r="442" spans="1:9" x14ac:dyDescent="0.25">
      <c r="A442" t="s">
        <v>428</v>
      </c>
      <c r="B442" t="s">
        <v>543</v>
      </c>
      <c r="C442" t="s">
        <v>537</v>
      </c>
      <c r="D442">
        <v>20251231</v>
      </c>
      <c r="E442">
        <v>4</v>
      </c>
      <c r="F442" t="s">
        <v>538</v>
      </c>
      <c r="G442" t="s">
        <v>539</v>
      </c>
      <c r="H442" t="s">
        <v>539</v>
      </c>
      <c r="I442">
        <v>210455000</v>
      </c>
    </row>
    <row r="443" spans="1:9" x14ac:dyDescent="0.25">
      <c r="A443" t="s">
        <v>400</v>
      </c>
      <c r="B443" t="s">
        <v>540</v>
      </c>
      <c r="C443" t="s">
        <v>537</v>
      </c>
      <c r="D443">
        <v>20251231</v>
      </c>
      <c r="E443">
        <v>0</v>
      </c>
      <c r="F443" t="s">
        <v>538</v>
      </c>
      <c r="G443" t="s">
        <v>539</v>
      </c>
      <c r="H443" t="s">
        <v>539</v>
      </c>
      <c r="I443">
        <v>80434997000</v>
      </c>
    </row>
    <row r="444" spans="1:9" x14ac:dyDescent="0.25">
      <c r="A444" t="s">
        <v>76</v>
      </c>
      <c r="B444" t="s">
        <v>536</v>
      </c>
      <c r="C444" t="s">
        <v>537</v>
      </c>
      <c r="D444">
        <v>20251231</v>
      </c>
      <c r="E444">
        <v>0</v>
      </c>
      <c r="F444" t="s">
        <v>538</v>
      </c>
      <c r="G444" t="s">
        <v>539</v>
      </c>
      <c r="H444" t="s">
        <v>539</v>
      </c>
      <c r="I444">
        <v>3624492000</v>
      </c>
    </row>
    <row r="445" spans="1:9" x14ac:dyDescent="0.25">
      <c r="A445" t="s">
        <v>400</v>
      </c>
      <c r="B445" t="s">
        <v>541</v>
      </c>
      <c r="C445" t="s">
        <v>537</v>
      </c>
      <c r="D445">
        <v>20251231</v>
      </c>
      <c r="E445">
        <v>4</v>
      </c>
      <c r="F445" t="s">
        <v>538</v>
      </c>
      <c r="G445" t="s">
        <v>539</v>
      </c>
      <c r="H445" t="s">
        <v>539</v>
      </c>
      <c r="I445">
        <v>4293396000</v>
      </c>
    </row>
    <row r="446" spans="1:9" x14ac:dyDescent="0.25">
      <c r="A446" t="s">
        <v>400</v>
      </c>
      <c r="B446" t="s">
        <v>536</v>
      </c>
      <c r="C446" t="s">
        <v>537</v>
      </c>
      <c r="D446">
        <v>20251231</v>
      </c>
      <c r="E446">
        <v>0</v>
      </c>
      <c r="F446" t="s">
        <v>538</v>
      </c>
      <c r="G446" t="s">
        <v>539</v>
      </c>
      <c r="H446" t="s">
        <v>539</v>
      </c>
      <c r="I446">
        <v>71535795000</v>
      </c>
    </row>
    <row r="447" spans="1:9" x14ac:dyDescent="0.25">
      <c r="A447" t="s">
        <v>70</v>
      </c>
      <c r="B447" t="s">
        <v>543</v>
      </c>
      <c r="C447" t="s">
        <v>537</v>
      </c>
      <c r="D447">
        <v>20251231</v>
      </c>
      <c r="E447">
        <v>4</v>
      </c>
      <c r="F447" t="s">
        <v>538</v>
      </c>
      <c r="G447" t="s">
        <v>539</v>
      </c>
      <c r="H447" t="s">
        <v>539</v>
      </c>
      <c r="I447">
        <v>41614000</v>
      </c>
    </row>
    <row r="448" spans="1:9" x14ac:dyDescent="0.25">
      <c r="A448" t="s">
        <v>50</v>
      </c>
      <c r="B448" t="s">
        <v>544</v>
      </c>
      <c r="C448" t="s">
        <v>537</v>
      </c>
      <c r="D448">
        <v>20251231</v>
      </c>
      <c r="E448">
        <v>0</v>
      </c>
      <c r="F448" t="s">
        <v>538</v>
      </c>
      <c r="G448" t="s">
        <v>539</v>
      </c>
      <c r="H448" t="s">
        <v>539</v>
      </c>
      <c r="I448">
        <v>365150000</v>
      </c>
    </row>
    <row r="449" spans="1:9" x14ac:dyDescent="0.25">
      <c r="A449" t="s">
        <v>402</v>
      </c>
      <c r="B449" t="s">
        <v>544</v>
      </c>
      <c r="C449" t="s">
        <v>537</v>
      </c>
      <c r="D449">
        <v>20251231</v>
      </c>
      <c r="E449">
        <v>0</v>
      </c>
      <c r="F449" t="s">
        <v>538</v>
      </c>
      <c r="G449" t="s">
        <v>539</v>
      </c>
      <c r="H449" t="s">
        <v>539</v>
      </c>
      <c r="I449">
        <v>3631382000</v>
      </c>
    </row>
    <row r="450" spans="1:9" x14ac:dyDescent="0.25">
      <c r="A450" t="s">
        <v>70</v>
      </c>
      <c r="B450" t="s">
        <v>544</v>
      </c>
      <c r="C450" t="s">
        <v>537</v>
      </c>
      <c r="D450">
        <v>20251231</v>
      </c>
      <c r="E450">
        <v>0</v>
      </c>
      <c r="F450" t="s">
        <v>538</v>
      </c>
      <c r="G450" t="s">
        <v>539</v>
      </c>
      <c r="H450" t="s">
        <v>539</v>
      </c>
      <c r="I450">
        <v>284364000</v>
      </c>
    </row>
    <row r="451" spans="1:9" x14ac:dyDescent="0.25">
      <c r="A451" t="s">
        <v>54</v>
      </c>
      <c r="B451" t="s">
        <v>544</v>
      </c>
      <c r="C451" t="s">
        <v>537</v>
      </c>
      <c r="D451">
        <v>20251231</v>
      </c>
      <c r="E451">
        <v>0</v>
      </c>
      <c r="F451" t="s">
        <v>538</v>
      </c>
      <c r="G451" t="s">
        <v>539</v>
      </c>
      <c r="H451" t="s">
        <v>539</v>
      </c>
      <c r="I451">
        <v>341714000</v>
      </c>
    </row>
    <row r="452" spans="1:9" x14ac:dyDescent="0.25">
      <c r="A452" t="s">
        <v>72</v>
      </c>
      <c r="B452" t="s">
        <v>540</v>
      </c>
      <c r="C452" t="s">
        <v>537</v>
      </c>
      <c r="D452">
        <v>20251231</v>
      </c>
      <c r="E452">
        <v>0</v>
      </c>
      <c r="F452" t="s">
        <v>538</v>
      </c>
      <c r="G452" t="s">
        <v>539</v>
      </c>
      <c r="H452" t="s">
        <v>539</v>
      </c>
      <c r="I452">
        <v>11904077000</v>
      </c>
    </row>
    <row r="453" spans="1:9" x14ac:dyDescent="0.25">
      <c r="A453" t="s">
        <v>72</v>
      </c>
      <c r="B453" t="s">
        <v>544</v>
      </c>
      <c r="C453" t="s">
        <v>537</v>
      </c>
      <c r="D453">
        <v>20251231</v>
      </c>
      <c r="E453">
        <v>0</v>
      </c>
      <c r="F453" t="s">
        <v>538</v>
      </c>
      <c r="G453" t="s">
        <v>539</v>
      </c>
      <c r="H453" t="s">
        <v>539</v>
      </c>
      <c r="I453">
        <v>912587000</v>
      </c>
    </row>
    <row r="454" spans="1:9" x14ac:dyDescent="0.25">
      <c r="A454" t="s">
        <v>74</v>
      </c>
      <c r="B454" t="s">
        <v>544</v>
      </c>
      <c r="C454" t="s">
        <v>537</v>
      </c>
      <c r="D454">
        <v>20251231</v>
      </c>
      <c r="E454">
        <v>0</v>
      </c>
      <c r="F454" t="s">
        <v>538</v>
      </c>
      <c r="G454" t="s">
        <v>539</v>
      </c>
      <c r="H454" t="s">
        <v>539</v>
      </c>
      <c r="I454">
        <v>552379000</v>
      </c>
    </row>
    <row r="455" spans="1:9" x14ac:dyDescent="0.25">
      <c r="A455" t="s">
        <v>84</v>
      </c>
      <c r="B455" t="s">
        <v>542</v>
      </c>
      <c r="C455" t="s">
        <v>537</v>
      </c>
      <c r="D455">
        <v>20251231</v>
      </c>
      <c r="E455">
        <v>4</v>
      </c>
      <c r="F455" t="s">
        <v>538</v>
      </c>
      <c r="G455" t="s">
        <v>539</v>
      </c>
      <c r="H455" t="s">
        <v>539</v>
      </c>
      <c r="I455">
        <v>1.59</v>
      </c>
    </row>
    <row r="456" spans="1:9" x14ac:dyDescent="0.25">
      <c r="A456" t="s">
        <v>84</v>
      </c>
      <c r="B456" t="s">
        <v>541</v>
      </c>
      <c r="C456" t="s">
        <v>537</v>
      </c>
      <c r="D456">
        <v>20251231</v>
      </c>
      <c r="E456">
        <v>4</v>
      </c>
      <c r="F456" t="s">
        <v>538</v>
      </c>
      <c r="G456" t="s">
        <v>539</v>
      </c>
      <c r="H456" t="s">
        <v>539</v>
      </c>
      <c r="I456">
        <v>38975000</v>
      </c>
    </row>
    <row r="457" spans="1:9" x14ac:dyDescent="0.25">
      <c r="A457" t="s">
        <v>418</v>
      </c>
      <c r="B457" t="s">
        <v>543</v>
      </c>
      <c r="C457" t="s">
        <v>546</v>
      </c>
      <c r="D457">
        <v>20251231</v>
      </c>
      <c r="E457">
        <v>4</v>
      </c>
      <c r="F457" t="s">
        <v>538</v>
      </c>
      <c r="G457" t="s">
        <v>539</v>
      </c>
      <c r="H457" t="s">
        <v>539</v>
      </c>
      <c r="I457">
        <v>42327000</v>
      </c>
    </row>
    <row r="458" spans="1:9" x14ac:dyDescent="0.25">
      <c r="A458" t="s">
        <v>418</v>
      </c>
      <c r="B458" t="s">
        <v>544</v>
      </c>
      <c r="C458" t="s">
        <v>546</v>
      </c>
      <c r="D458">
        <v>20251231</v>
      </c>
      <c r="E458">
        <v>0</v>
      </c>
      <c r="F458" t="s">
        <v>538</v>
      </c>
      <c r="G458" t="s">
        <v>539</v>
      </c>
      <c r="H458" t="s">
        <v>539</v>
      </c>
      <c r="I458">
        <v>364863000</v>
      </c>
    </row>
    <row r="459" spans="1:9" x14ac:dyDescent="0.25">
      <c r="A459" t="s">
        <v>78</v>
      </c>
      <c r="B459" t="s">
        <v>543</v>
      </c>
      <c r="C459" t="s">
        <v>546</v>
      </c>
      <c r="D459">
        <v>20251231</v>
      </c>
      <c r="E459">
        <v>4</v>
      </c>
      <c r="F459" t="s">
        <v>538</v>
      </c>
      <c r="G459" t="s">
        <v>539</v>
      </c>
      <c r="H459" t="s">
        <v>539</v>
      </c>
      <c r="I459">
        <v>3911000</v>
      </c>
    </row>
    <row r="460" spans="1:9" x14ac:dyDescent="0.25">
      <c r="A460" t="s">
        <v>420</v>
      </c>
      <c r="B460" t="s">
        <v>540</v>
      </c>
      <c r="C460" t="s">
        <v>537</v>
      </c>
      <c r="D460">
        <v>20251231</v>
      </c>
      <c r="E460">
        <v>0</v>
      </c>
      <c r="F460" t="s">
        <v>538</v>
      </c>
      <c r="G460" t="s">
        <v>539</v>
      </c>
      <c r="H460" t="s">
        <v>539</v>
      </c>
      <c r="I460">
        <v>9575470000</v>
      </c>
    </row>
    <row r="461" spans="1:9" x14ac:dyDescent="0.25">
      <c r="A461" t="s">
        <v>420</v>
      </c>
      <c r="B461" t="s">
        <v>543</v>
      </c>
      <c r="C461" t="s">
        <v>537</v>
      </c>
      <c r="D461">
        <v>20251231</v>
      </c>
      <c r="E461">
        <v>4</v>
      </c>
      <c r="F461" t="s">
        <v>538</v>
      </c>
      <c r="G461" t="s">
        <v>539</v>
      </c>
      <c r="H461" t="s">
        <v>539</v>
      </c>
      <c r="I461">
        <v>127194000</v>
      </c>
    </row>
    <row r="462" spans="1:9" x14ac:dyDescent="0.25">
      <c r="A462" t="s">
        <v>82</v>
      </c>
      <c r="B462" t="s">
        <v>536</v>
      </c>
      <c r="C462" t="s">
        <v>537</v>
      </c>
      <c r="D462">
        <v>20251231</v>
      </c>
      <c r="E462">
        <v>0</v>
      </c>
      <c r="F462" t="s">
        <v>538</v>
      </c>
      <c r="G462" t="s">
        <v>539</v>
      </c>
      <c r="H462" t="s">
        <v>539</v>
      </c>
      <c r="I462">
        <v>1334501000</v>
      </c>
    </row>
    <row r="463" spans="1:9" x14ac:dyDescent="0.25">
      <c r="A463" t="s">
        <v>84</v>
      </c>
      <c r="B463" t="s">
        <v>536</v>
      </c>
      <c r="C463" t="s">
        <v>537</v>
      </c>
      <c r="D463">
        <v>20251231</v>
      </c>
      <c r="E463">
        <v>0</v>
      </c>
      <c r="F463" t="s">
        <v>538</v>
      </c>
      <c r="G463" t="s">
        <v>539</v>
      </c>
      <c r="H463" t="s">
        <v>539</v>
      </c>
      <c r="I463">
        <v>837890000</v>
      </c>
    </row>
    <row r="464" spans="1:9" x14ac:dyDescent="0.25">
      <c r="A464" t="s">
        <v>84</v>
      </c>
      <c r="B464" t="s">
        <v>543</v>
      </c>
      <c r="C464" t="s">
        <v>537</v>
      </c>
      <c r="D464">
        <v>20251231</v>
      </c>
      <c r="E464">
        <v>4</v>
      </c>
      <c r="F464" t="s">
        <v>538</v>
      </c>
      <c r="G464" t="s">
        <v>539</v>
      </c>
      <c r="H464" t="s">
        <v>539</v>
      </c>
      <c r="I464">
        <v>7983000</v>
      </c>
    </row>
    <row r="465" spans="1:9" x14ac:dyDescent="0.25">
      <c r="A465" t="s">
        <v>42</v>
      </c>
      <c r="B465" t="s">
        <v>536</v>
      </c>
      <c r="C465" t="s">
        <v>537</v>
      </c>
      <c r="D465">
        <v>20251231</v>
      </c>
      <c r="E465">
        <v>0</v>
      </c>
      <c r="F465" t="s">
        <v>538</v>
      </c>
      <c r="G465" t="s">
        <v>539</v>
      </c>
      <c r="H465" t="s">
        <v>539</v>
      </c>
      <c r="I465">
        <v>2506146000</v>
      </c>
    </row>
    <row r="466" spans="1:9" x14ac:dyDescent="0.25">
      <c r="A466" t="s">
        <v>62</v>
      </c>
      <c r="B466" t="s">
        <v>540</v>
      </c>
      <c r="C466" t="s">
        <v>537</v>
      </c>
      <c r="D466">
        <v>20251231</v>
      </c>
      <c r="E466">
        <v>0</v>
      </c>
      <c r="F466" t="s">
        <v>538</v>
      </c>
      <c r="G466" t="s">
        <v>539</v>
      </c>
      <c r="H466" t="s">
        <v>539</v>
      </c>
      <c r="I466">
        <v>4683891000</v>
      </c>
    </row>
    <row r="467" spans="1:9" x14ac:dyDescent="0.25">
      <c r="A467" t="s">
        <v>86</v>
      </c>
      <c r="B467" t="s">
        <v>536</v>
      </c>
      <c r="C467" t="s">
        <v>537</v>
      </c>
      <c r="D467">
        <v>20251231</v>
      </c>
      <c r="E467">
        <v>0</v>
      </c>
      <c r="F467" t="s">
        <v>538</v>
      </c>
      <c r="G467" t="s">
        <v>539</v>
      </c>
      <c r="H467" t="s">
        <v>539</v>
      </c>
      <c r="I467">
        <v>279363000</v>
      </c>
    </row>
    <row r="468" spans="1:9" x14ac:dyDescent="0.25">
      <c r="A468" t="s">
        <v>52</v>
      </c>
      <c r="B468" t="s">
        <v>540</v>
      </c>
      <c r="C468" t="s">
        <v>537</v>
      </c>
      <c r="D468">
        <v>20251231</v>
      </c>
      <c r="E468">
        <v>0</v>
      </c>
      <c r="F468" t="s">
        <v>538</v>
      </c>
      <c r="G468" t="s">
        <v>539</v>
      </c>
      <c r="H468" t="s">
        <v>539</v>
      </c>
      <c r="I468">
        <v>7042061000</v>
      </c>
    </row>
    <row r="469" spans="1:9" x14ac:dyDescent="0.25">
      <c r="A469" t="s">
        <v>52</v>
      </c>
      <c r="B469" t="s">
        <v>541</v>
      </c>
      <c r="C469" t="s">
        <v>537</v>
      </c>
      <c r="D469">
        <v>20251231</v>
      </c>
      <c r="E469">
        <v>4</v>
      </c>
      <c r="F469" t="s">
        <v>538</v>
      </c>
      <c r="G469" t="s">
        <v>539</v>
      </c>
      <c r="H469" t="s">
        <v>539</v>
      </c>
      <c r="I469">
        <v>438513000</v>
      </c>
    </row>
    <row r="470" spans="1:9" x14ac:dyDescent="0.25">
      <c r="A470" t="s">
        <v>56</v>
      </c>
      <c r="B470" t="s">
        <v>536</v>
      </c>
      <c r="C470" t="s">
        <v>546</v>
      </c>
      <c r="D470">
        <v>20251231</v>
      </c>
      <c r="E470">
        <v>0</v>
      </c>
      <c r="F470" t="s">
        <v>538</v>
      </c>
      <c r="G470" t="s">
        <v>539</v>
      </c>
      <c r="H470" t="s">
        <v>539</v>
      </c>
      <c r="I470">
        <v>7985327000</v>
      </c>
    </row>
    <row r="471" spans="1:9" x14ac:dyDescent="0.25">
      <c r="A471" t="s">
        <v>66</v>
      </c>
      <c r="B471" t="s">
        <v>536</v>
      </c>
      <c r="C471" t="s">
        <v>537</v>
      </c>
      <c r="D471">
        <v>20251231</v>
      </c>
      <c r="E471">
        <v>0</v>
      </c>
      <c r="F471" t="s">
        <v>538</v>
      </c>
      <c r="G471" t="s">
        <v>539</v>
      </c>
      <c r="H471" t="s">
        <v>539</v>
      </c>
      <c r="I471">
        <v>2182830000</v>
      </c>
    </row>
    <row r="472" spans="1:9" x14ac:dyDescent="0.25">
      <c r="A472" t="s">
        <v>68</v>
      </c>
      <c r="B472" t="s">
        <v>542</v>
      </c>
      <c r="C472" t="s">
        <v>537</v>
      </c>
      <c r="D472">
        <v>20251231</v>
      </c>
      <c r="E472">
        <v>4</v>
      </c>
      <c r="F472" t="s">
        <v>538</v>
      </c>
      <c r="G472" t="s">
        <v>539</v>
      </c>
      <c r="H472" t="s">
        <v>539</v>
      </c>
      <c r="I472">
        <v>5.92</v>
      </c>
    </row>
    <row r="473" spans="1:9" x14ac:dyDescent="0.25">
      <c r="A473" t="s">
        <v>76</v>
      </c>
      <c r="B473" t="s">
        <v>540</v>
      </c>
      <c r="C473" t="s">
        <v>537</v>
      </c>
      <c r="D473">
        <v>20251231</v>
      </c>
      <c r="E473">
        <v>0</v>
      </c>
      <c r="F473" t="s">
        <v>538</v>
      </c>
      <c r="G473" t="s">
        <v>539</v>
      </c>
      <c r="H473" t="s">
        <v>539</v>
      </c>
      <c r="I473">
        <v>4047388000</v>
      </c>
    </row>
    <row r="474" spans="1:9" x14ac:dyDescent="0.25">
      <c r="A474" t="s">
        <v>76</v>
      </c>
      <c r="B474" t="s">
        <v>543</v>
      </c>
      <c r="C474" t="s">
        <v>537</v>
      </c>
      <c r="D474">
        <v>20251231</v>
      </c>
      <c r="E474">
        <v>4</v>
      </c>
      <c r="F474" t="s">
        <v>538</v>
      </c>
      <c r="G474" t="s">
        <v>539</v>
      </c>
      <c r="H474" t="s">
        <v>539</v>
      </c>
      <c r="I474">
        <v>61443000</v>
      </c>
    </row>
    <row r="475" spans="1:9" x14ac:dyDescent="0.25">
      <c r="A475" t="s">
        <v>78</v>
      </c>
      <c r="B475" t="s">
        <v>540</v>
      </c>
      <c r="C475" t="s">
        <v>546</v>
      </c>
      <c r="D475">
        <v>20251231</v>
      </c>
      <c r="E475">
        <v>0</v>
      </c>
      <c r="F475" t="s">
        <v>538</v>
      </c>
      <c r="G475" t="s">
        <v>539</v>
      </c>
      <c r="H475" t="s">
        <v>539</v>
      </c>
      <c r="I475">
        <v>727121000</v>
      </c>
    </row>
    <row r="476" spans="1:9" x14ac:dyDescent="0.25">
      <c r="A476" t="s">
        <v>88</v>
      </c>
      <c r="B476" t="s">
        <v>542</v>
      </c>
      <c r="C476" t="s">
        <v>537</v>
      </c>
      <c r="D476">
        <v>20251231</v>
      </c>
      <c r="E476">
        <v>4</v>
      </c>
      <c r="F476" t="s">
        <v>538</v>
      </c>
      <c r="G476" t="s">
        <v>539</v>
      </c>
      <c r="H476" t="s">
        <v>539</v>
      </c>
      <c r="I476">
        <v>0.7</v>
      </c>
    </row>
    <row r="477" spans="1:9" x14ac:dyDescent="0.25">
      <c r="A477" t="s">
        <v>82</v>
      </c>
      <c r="B477" t="s">
        <v>540</v>
      </c>
      <c r="C477" t="s">
        <v>537</v>
      </c>
      <c r="D477">
        <v>20251231</v>
      </c>
      <c r="E477">
        <v>0</v>
      </c>
      <c r="F477" t="s">
        <v>538</v>
      </c>
      <c r="G477" t="s">
        <v>539</v>
      </c>
      <c r="H477" t="s">
        <v>539</v>
      </c>
      <c r="I477">
        <v>1453813000</v>
      </c>
    </row>
    <row r="478" spans="1:9" x14ac:dyDescent="0.25">
      <c r="A478" t="s">
        <v>82</v>
      </c>
      <c r="B478" t="s">
        <v>542</v>
      </c>
      <c r="C478" t="s">
        <v>537</v>
      </c>
      <c r="D478">
        <v>20251231</v>
      </c>
      <c r="E478">
        <v>4</v>
      </c>
      <c r="F478" t="s">
        <v>538</v>
      </c>
      <c r="G478" t="s">
        <v>539</v>
      </c>
      <c r="H478" t="s">
        <v>539</v>
      </c>
      <c r="I478">
        <v>0.34</v>
      </c>
    </row>
    <row r="479" spans="1:9" x14ac:dyDescent="0.25">
      <c r="A479" t="s">
        <v>82</v>
      </c>
      <c r="B479" t="s">
        <v>543</v>
      </c>
      <c r="C479" t="s">
        <v>537</v>
      </c>
      <c r="D479">
        <v>20251231</v>
      </c>
      <c r="E479">
        <v>4</v>
      </c>
      <c r="F479" t="s">
        <v>538</v>
      </c>
      <c r="G479" t="s">
        <v>539</v>
      </c>
      <c r="H479" t="s">
        <v>539</v>
      </c>
      <c r="I479">
        <v>5612000</v>
      </c>
    </row>
    <row r="480" spans="1:9" x14ac:dyDescent="0.25">
      <c r="A480" t="s">
        <v>82</v>
      </c>
      <c r="B480" t="s">
        <v>544</v>
      </c>
      <c r="C480" t="s">
        <v>537</v>
      </c>
      <c r="D480">
        <v>20251231</v>
      </c>
      <c r="E480">
        <v>0</v>
      </c>
      <c r="F480" t="s">
        <v>538</v>
      </c>
      <c r="G480" t="s">
        <v>539</v>
      </c>
      <c r="H480" t="s">
        <v>539</v>
      </c>
      <c r="I480">
        <v>119312000</v>
      </c>
    </row>
    <row r="481" spans="1:9" x14ac:dyDescent="0.25">
      <c r="A481" t="s">
        <v>430</v>
      </c>
      <c r="B481" t="s">
        <v>543</v>
      </c>
      <c r="C481" t="s">
        <v>546</v>
      </c>
      <c r="D481">
        <v>20251231</v>
      </c>
      <c r="E481">
        <v>4</v>
      </c>
      <c r="F481" t="s">
        <v>538</v>
      </c>
      <c r="G481" t="s">
        <v>539</v>
      </c>
      <c r="H481" t="s">
        <v>539</v>
      </c>
      <c r="I481">
        <v>61588000</v>
      </c>
    </row>
    <row r="482" spans="1:9" x14ac:dyDescent="0.25">
      <c r="A482" t="s">
        <v>88</v>
      </c>
      <c r="B482" t="s">
        <v>543</v>
      </c>
      <c r="C482" t="s">
        <v>537</v>
      </c>
      <c r="D482">
        <v>20251231</v>
      </c>
      <c r="E482">
        <v>4</v>
      </c>
      <c r="F482" t="s">
        <v>538</v>
      </c>
      <c r="G482" t="s">
        <v>539</v>
      </c>
      <c r="H482" t="s">
        <v>539</v>
      </c>
      <c r="I482">
        <v>12288000</v>
      </c>
    </row>
    <row r="483" spans="1:9" x14ac:dyDescent="0.25">
      <c r="A483" t="s">
        <v>88</v>
      </c>
      <c r="B483" t="s">
        <v>544</v>
      </c>
      <c r="C483" t="s">
        <v>537</v>
      </c>
      <c r="D483">
        <v>20251231</v>
      </c>
      <c r="E483">
        <v>0</v>
      </c>
      <c r="F483" t="s">
        <v>538</v>
      </c>
      <c r="G483" t="s">
        <v>539</v>
      </c>
      <c r="H483" t="s">
        <v>539</v>
      </c>
      <c r="I483">
        <v>139683000</v>
      </c>
    </row>
    <row r="484" spans="1:9" x14ac:dyDescent="0.25">
      <c r="A484" t="s">
        <v>432</v>
      </c>
      <c r="B484" t="s">
        <v>542</v>
      </c>
      <c r="C484" t="s">
        <v>537</v>
      </c>
      <c r="D484">
        <v>20251231</v>
      </c>
      <c r="E484">
        <v>4</v>
      </c>
      <c r="F484" t="s">
        <v>538</v>
      </c>
      <c r="G484" t="s">
        <v>539</v>
      </c>
      <c r="H484" t="s">
        <v>539</v>
      </c>
      <c r="I484">
        <v>5.44</v>
      </c>
    </row>
    <row r="485" spans="1:9" x14ac:dyDescent="0.25">
      <c r="A485" t="s">
        <v>432</v>
      </c>
      <c r="B485" t="s">
        <v>536</v>
      </c>
      <c r="C485" t="s">
        <v>537</v>
      </c>
      <c r="D485">
        <v>20251231</v>
      </c>
      <c r="E485">
        <v>0</v>
      </c>
      <c r="F485" t="s">
        <v>538</v>
      </c>
      <c r="G485" t="s">
        <v>539</v>
      </c>
      <c r="H485" t="s">
        <v>539</v>
      </c>
      <c r="I485">
        <v>5828066000</v>
      </c>
    </row>
    <row r="486" spans="1:9" x14ac:dyDescent="0.25">
      <c r="A486" t="s">
        <v>432</v>
      </c>
      <c r="B486" t="s">
        <v>543</v>
      </c>
      <c r="C486" t="s">
        <v>537</v>
      </c>
      <c r="D486">
        <v>20251231</v>
      </c>
      <c r="E486">
        <v>4</v>
      </c>
      <c r="F486" t="s">
        <v>538</v>
      </c>
      <c r="G486" t="s">
        <v>539</v>
      </c>
      <c r="H486" t="s">
        <v>539</v>
      </c>
      <c r="I486">
        <v>98058000</v>
      </c>
    </row>
    <row r="487" spans="1:9" x14ac:dyDescent="0.25">
      <c r="A487" t="s">
        <v>62</v>
      </c>
      <c r="B487" t="s">
        <v>543</v>
      </c>
      <c r="C487" t="s">
        <v>537</v>
      </c>
      <c r="D487">
        <v>20251231</v>
      </c>
      <c r="E487">
        <v>4</v>
      </c>
      <c r="F487" t="s">
        <v>538</v>
      </c>
      <c r="G487" t="s">
        <v>539</v>
      </c>
      <c r="H487" t="s">
        <v>539</v>
      </c>
      <c r="I487">
        <v>36919000</v>
      </c>
    </row>
    <row r="488" spans="1:9" x14ac:dyDescent="0.25">
      <c r="A488" t="s">
        <v>64</v>
      </c>
      <c r="B488" t="s">
        <v>542</v>
      </c>
      <c r="C488" t="s">
        <v>537</v>
      </c>
      <c r="D488">
        <v>20251231</v>
      </c>
      <c r="E488">
        <v>4</v>
      </c>
      <c r="F488" t="s">
        <v>538</v>
      </c>
      <c r="G488" t="s">
        <v>539</v>
      </c>
      <c r="H488" t="s">
        <v>539</v>
      </c>
      <c r="I488">
        <v>1.49</v>
      </c>
    </row>
    <row r="489" spans="1:9" x14ac:dyDescent="0.25">
      <c r="A489" t="s">
        <v>92</v>
      </c>
      <c r="B489" t="s">
        <v>536</v>
      </c>
      <c r="C489" t="s">
        <v>537</v>
      </c>
      <c r="D489">
        <v>20251231</v>
      </c>
      <c r="E489">
        <v>0</v>
      </c>
      <c r="F489" t="s">
        <v>538</v>
      </c>
      <c r="G489" t="s">
        <v>539</v>
      </c>
      <c r="H489" t="s">
        <v>539</v>
      </c>
      <c r="I489">
        <v>2726513000</v>
      </c>
    </row>
    <row r="490" spans="1:9" x14ac:dyDescent="0.25">
      <c r="A490" t="s">
        <v>94</v>
      </c>
      <c r="B490" t="s">
        <v>536</v>
      </c>
      <c r="C490" t="s">
        <v>537</v>
      </c>
      <c r="D490">
        <v>20251231</v>
      </c>
      <c r="E490">
        <v>0</v>
      </c>
      <c r="F490" t="s">
        <v>538</v>
      </c>
      <c r="G490" t="s">
        <v>539</v>
      </c>
      <c r="H490" t="s">
        <v>539</v>
      </c>
      <c r="I490">
        <v>1412397000</v>
      </c>
    </row>
    <row r="491" spans="1:9" x14ac:dyDescent="0.25">
      <c r="A491" t="s">
        <v>96</v>
      </c>
      <c r="B491" t="s">
        <v>543</v>
      </c>
      <c r="C491" t="s">
        <v>537</v>
      </c>
      <c r="D491">
        <v>20251231</v>
      </c>
      <c r="E491">
        <v>4</v>
      </c>
      <c r="F491" t="s">
        <v>538</v>
      </c>
      <c r="G491" t="s">
        <v>539</v>
      </c>
      <c r="H491" t="s">
        <v>539</v>
      </c>
      <c r="I491">
        <v>93605000</v>
      </c>
    </row>
    <row r="492" spans="1:9" x14ac:dyDescent="0.25">
      <c r="A492" t="s">
        <v>98</v>
      </c>
      <c r="B492" t="s">
        <v>540</v>
      </c>
      <c r="C492" t="s">
        <v>537</v>
      </c>
      <c r="D492">
        <v>20251231</v>
      </c>
      <c r="E492">
        <v>0</v>
      </c>
      <c r="F492" t="s">
        <v>538</v>
      </c>
      <c r="G492" t="s">
        <v>539</v>
      </c>
      <c r="H492" t="s">
        <v>539</v>
      </c>
      <c r="I492">
        <v>6440700000</v>
      </c>
    </row>
    <row r="493" spans="1:9" x14ac:dyDescent="0.25">
      <c r="A493" t="s">
        <v>100</v>
      </c>
      <c r="B493" t="s">
        <v>541</v>
      </c>
      <c r="C493" t="s">
        <v>537</v>
      </c>
      <c r="D493">
        <v>20251231</v>
      </c>
      <c r="E493">
        <v>4</v>
      </c>
      <c r="F493" t="s">
        <v>538</v>
      </c>
      <c r="G493" t="s">
        <v>539</v>
      </c>
      <c r="H493" t="s">
        <v>539</v>
      </c>
      <c r="I493">
        <v>128758000</v>
      </c>
    </row>
    <row r="494" spans="1:9" x14ac:dyDescent="0.25">
      <c r="A494" t="s">
        <v>406</v>
      </c>
      <c r="B494" t="s">
        <v>544</v>
      </c>
      <c r="C494" t="s">
        <v>537</v>
      </c>
      <c r="D494">
        <v>20251231</v>
      </c>
      <c r="E494">
        <v>0</v>
      </c>
      <c r="F494" t="s">
        <v>538</v>
      </c>
      <c r="G494" t="s">
        <v>539</v>
      </c>
      <c r="H494" t="s">
        <v>539</v>
      </c>
      <c r="I494">
        <v>9059108000</v>
      </c>
    </row>
    <row r="495" spans="1:9" x14ac:dyDescent="0.25">
      <c r="A495" t="s">
        <v>70</v>
      </c>
      <c r="B495" t="s">
        <v>541</v>
      </c>
      <c r="C495" t="s">
        <v>537</v>
      </c>
      <c r="D495">
        <v>20251231</v>
      </c>
      <c r="E495">
        <v>4</v>
      </c>
      <c r="F495" t="s">
        <v>538</v>
      </c>
      <c r="G495" t="s">
        <v>539</v>
      </c>
      <c r="H495" t="s">
        <v>539</v>
      </c>
      <c r="I495">
        <v>134982000</v>
      </c>
    </row>
    <row r="496" spans="1:9" x14ac:dyDescent="0.25">
      <c r="A496" t="s">
        <v>86</v>
      </c>
      <c r="B496" t="s">
        <v>542</v>
      </c>
      <c r="C496" t="s">
        <v>537</v>
      </c>
      <c r="D496">
        <v>20251231</v>
      </c>
      <c r="E496">
        <v>4</v>
      </c>
      <c r="F496" t="s">
        <v>538</v>
      </c>
      <c r="G496" t="s">
        <v>539</v>
      </c>
      <c r="H496" t="s">
        <v>539</v>
      </c>
      <c r="I496">
        <v>0.1</v>
      </c>
    </row>
    <row r="497" spans="1:9" x14ac:dyDescent="0.25">
      <c r="A497" t="s">
        <v>86</v>
      </c>
      <c r="B497" t="s">
        <v>543</v>
      </c>
      <c r="C497" t="s">
        <v>537</v>
      </c>
      <c r="D497">
        <v>20251231</v>
      </c>
      <c r="E497">
        <v>4</v>
      </c>
      <c r="F497" t="s">
        <v>538</v>
      </c>
      <c r="G497" t="s">
        <v>539</v>
      </c>
      <c r="H497" t="s">
        <v>539</v>
      </c>
      <c r="I497">
        <v>172000</v>
      </c>
    </row>
    <row r="498" spans="1:9" x14ac:dyDescent="0.25">
      <c r="A498" t="s">
        <v>78</v>
      </c>
      <c r="B498" t="s">
        <v>542</v>
      </c>
      <c r="C498" t="s">
        <v>546</v>
      </c>
      <c r="D498">
        <v>20251231</v>
      </c>
      <c r="E498">
        <v>4</v>
      </c>
      <c r="F498" t="s">
        <v>538</v>
      </c>
      <c r="G498" t="s">
        <v>539</v>
      </c>
      <c r="H498" t="s">
        <v>539</v>
      </c>
      <c r="I498">
        <v>0.85</v>
      </c>
    </row>
    <row r="499" spans="1:9" x14ac:dyDescent="0.25">
      <c r="A499" t="s">
        <v>78</v>
      </c>
      <c r="B499" t="s">
        <v>536</v>
      </c>
      <c r="C499" t="s">
        <v>546</v>
      </c>
      <c r="D499">
        <v>20251231</v>
      </c>
      <c r="E499">
        <v>0</v>
      </c>
      <c r="F499" t="s">
        <v>538</v>
      </c>
      <c r="G499" t="s">
        <v>539</v>
      </c>
      <c r="H499" t="s">
        <v>539</v>
      </c>
      <c r="I499">
        <v>626454000</v>
      </c>
    </row>
    <row r="500" spans="1:9" x14ac:dyDescent="0.25">
      <c r="A500" t="s">
        <v>94</v>
      </c>
      <c r="B500" t="s">
        <v>542</v>
      </c>
      <c r="C500" t="s">
        <v>537</v>
      </c>
      <c r="D500">
        <v>20251231</v>
      </c>
      <c r="E500">
        <v>4</v>
      </c>
      <c r="F500" t="s">
        <v>538</v>
      </c>
      <c r="G500" t="s">
        <v>539</v>
      </c>
      <c r="H500" t="s">
        <v>539</v>
      </c>
      <c r="I500">
        <v>3.31</v>
      </c>
    </row>
    <row r="501" spans="1:9" x14ac:dyDescent="0.25">
      <c r="A501" t="s">
        <v>96</v>
      </c>
      <c r="B501" t="s">
        <v>540</v>
      </c>
      <c r="C501" t="s">
        <v>537</v>
      </c>
      <c r="D501">
        <v>20251231</v>
      </c>
      <c r="E501">
        <v>0</v>
      </c>
      <c r="F501" t="s">
        <v>538</v>
      </c>
      <c r="G501" t="s">
        <v>539</v>
      </c>
      <c r="H501" t="s">
        <v>539</v>
      </c>
      <c r="I501">
        <v>5690110000</v>
      </c>
    </row>
    <row r="502" spans="1:9" x14ac:dyDescent="0.25">
      <c r="A502" t="s">
        <v>98</v>
      </c>
      <c r="B502" t="s">
        <v>536</v>
      </c>
      <c r="C502" t="s">
        <v>537</v>
      </c>
      <c r="D502">
        <v>20251231</v>
      </c>
      <c r="E502">
        <v>0</v>
      </c>
      <c r="F502" t="s">
        <v>538</v>
      </c>
      <c r="G502" t="s">
        <v>539</v>
      </c>
      <c r="H502" t="s">
        <v>539</v>
      </c>
      <c r="I502">
        <v>5754111000</v>
      </c>
    </row>
    <row r="503" spans="1:9" x14ac:dyDescent="0.25">
      <c r="A503" t="s">
        <v>98</v>
      </c>
      <c r="B503" t="s">
        <v>544</v>
      </c>
      <c r="C503" t="s">
        <v>537</v>
      </c>
      <c r="D503">
        <v>20251231</v>
      </c>
      <c r="E503">
        <v>0</v>
      </c>
      <c r="F503" t="s">
        <v>538</v>
      </c>
      <c r="G503" t="s">
        <v>539</v>
      </c>
      <c r="H503" t="s">
        <v>539</v>
      </c>
      <c r="I503">
        <v>686589000</v>
      </c>
    </row>
    <row r="504" spans="1:9" x14ac:dyDescent="0.25">
      <c r="A504" t="s">
        <v>100</v>
      </c>
      <c r="B504" t="s">
        <v>543</v>
      </c>
      <c r="C504" t="s">
        <v>537</v>
      </c>
      <c r="D504">
        <v>20251231</v>
      </c>
      <c r="E504">
        <v>4</v>
      </c>
      <c r="F504" t="s">
        <v>538</v>
      </c>
      <c r="G504" t="s">
        <v>539</v>
      </c>
      <c r="H504" t="s">
        <v>539</v>
      </c>
      <c r="I504">
        <v>43069000</v>
      </c>
    </row>
    <row r="505" spans="1:9" x14ac:dyDescent="0.25">
      <c r="A505" t="s">
        <v>384</v>
      </c>
      <c r="B505" t="s">
        <v>542</v>
      </c>
      <c r="C505" t="s">
        <v>537</v>
      </c>
      <c r="D505">
        <v>20251231</v>
      </c>
      <c r="E505">
        <v>4</v>
      </c>
      <c r="F505" t="s">
        <v>538</v>
      </c>
      <c r="G505" t="s">
        <v>539</v>
      </c>
      <c r="H505" t="s">
        <v>539</v>
      </c>
      <c r="I505">
        <v>5.67</v>
      </c>
    </row>
    <row r="506" spans="1:9" x14ac:dyDescent="0.25">
      <c r="A506" t="s">
        <v>412</v>
      </c>
      <c r="B506" t="s">
        <v>542</v>
      </c>
      <c r="C506" t="s">
        <v>537</v>
      </c>
      <c r="D506">
        <v>20251231</v>
      </c>
      <c r="E506">
        <v>4</v>
      </c>
      <c r="F506" t="s">
        <v>538</v>
      </c>
      <c r="G506" t="s">
        <v>539</v>
      </c>
      <c r="H506" t="s">
        <v>539</v>
      </c>
      <c r="I506">
        <v>1.53</v>
      </c>
    </row>
    <row r="507" spans="1:9" x14ac:dyDescent="0.25">
      <c r="A507" t="s">
        <v>414</v>
      </c>
      <c r="B507" t="s">
        <v>544</v>
      </c>
      <c r="C507" t="s">
        <v>546</v>
      </c>
      <c r="D507">
        <v>20251231</v>
      </c>
      <c r="E507">
        <v>0</v>
      </c>
      <c r="F507" t="s">
        <v>538</v>
      </c>
      <c r="G507" t="s">
        <v>539</v>
      </c>
      <c r="H507" t="s">
        <v>539</v>
      </c>
      <c r="I507">
        <v>896768000</v>
      </c>
    </row>
    <row r="508" spans="1:9" x14ac:dyDescent="0.25">
      <c r="A508" t="s">
        <v>416</v>
      </c>
      <c r="B508" t="s">
        <v>543</v>
      </c>
      <c r="C508" t="s">
        <v>537</v>
      </c>
      <c r="D508">
        <v>20251231</v>
      </c>
      <c r="E508">
        <v>4</v>
      </c>
      <c r="F508" t="s">
        <v>538</v>
      </c>
      <c r="G508" t="s">
        <v>539</v>
      </c>
      <c r="H508" t="s">
        <v>539</v>
      </c>
      <c r="I508">
        <v>412293000</v>
      </c>
    </row>
    <row r="509" spans="1:9" x14ac:dyDescent="0.25">
      <c r="A509" t="s">
        <v>386</v>
      </c>
      <c r="B509" t="s">
        <v>542</v>
      </c>
      <c r="C509" t="s">
        <v>537</v>
      </c>
      <c r="D509">
        <v>20251231</v>
      </c>
      <c r="E509">
        <v>4</v>
      </c>
      <c r="F509" t="s">
        <v>538</v>
      </c>
      <c r="G509" t="s">
        <v>539</v>
      </c>
      <c r="H509" t="s">
        <v>539</v>
      </c>
      <c r="I509">
        <v>1.17</v>
      </c>
    </row>
    <row r="510" spans="1:9" x14ac:dyDescent="0.25">
      <c r="A510" t="s">
        <v>386</v>
      </c>
      <c r="B510" t="s">
        <v>543</v>
      </c>
      <c r="C510" t="s">
        <v>537</v>
      </c>
      <c r="D510">
        <v>20251231</v>
      </c>
      <c r="E510">
        <v>4</v>
      </c>
      <c r="F510" t="s">
        <v>538</v>
      </c>
      <c r="G510" t="s">
        <v>539</v>
      </c>
      <c r="H510" t="s">
        <v>539</v>
      </c>
      <c r="I510">
        <v>70978000</v>
      </c>
    </row>
    <row r="511" spans="1:9" x14ac:dyDescent="0.25">
      <c r="A511" t="s">
        <v>386</v>
      </c>
      <c r="B511" t="s">
        <v>544</v>
      </c>
      <c r="C511" t="s">
        <v>537</v>
      </c>
      <c r="D511">
        <v>20251231</v>
      </c>
      <c r="E511">
        <v>0</v>
      </c>
      <c r="F511" t="s">
        <v>538</v>
      </c>
      <c r="G511" t="s">
        <v>539</v>
      </c>
      <c r="H511" t="s">
        <v>539</v>
      </c>
      <c r="I511">
        <v>1662550000</v>
      </c>
    </row>
    <row r="512" spans="1:9" x14ac:dyDescent="0.25">
      <c r="A512" t="s">
        <v>436</v>
      </c>
      <c r="B512" t="s">
        <v>540</v>
      </c>
      <c r="C512" t="s">
        <v>537</v>
      </c>
      <c r="D512">
        <v>20251231</v>
      </c>
      <c r="E512">
        <v>0</v>
      </c>
      <c r="F512" t="s">
        <v>538</v>
      </c>
      <c r="G512" t="s">
        <v>539</v>
      </c>
      <c r="H512" t="s">
        <v>539</v>
      </c>
      <c r="I512">
        <v>4142244000</v>
      </c>
    </row>
    <row r="513" spans="1:9" x14ac:dyDescent="0.25">
      <c r="A513" t="s">
        <v>436</v>
      </c>
      <c r="B513" t="s">
        <v>543</v>
      </c>
      <c r="C513" t="s">
        <v>537</v>
      </c>
      <c r="D513">
        <v>20251231</v>
      </c>
      <c r="E513">
        <v>4</v>
      </c>
      <c r="F513" t="s">
        <v>538</v>
      </c>
      <c r="G513" t="s">
        <v>539</v>
      </c>
      <c r="H513" t="s">
        <v>539</v>
      </c>
      <c r="I513">
        <v>32560000</v>
      </c>
    </row>
    <row r="514" spans="1:9" x14ac:dyDescent="0.25">
      <c r="A514" t="s">
        <v>438</v>
      </c>
      <c r="B514" t="s">
        <v>536</v>
      </c>
      <c r="C514" t="s">
        <v>537</v>
      </c>
      <c r="D514">
        <v>20251231</v>
      </c>
      <c r="E514">
        <v>0</v>
      </c>
      <c r="F514" t="s">
        <v>538</v>
      </c>
      <c r="G514" t="s">
        <v>539</v>
      </c>
      <c r="H514" t="s">
        <v>539</v>
      </c>
      <c r="I514">
        <v>15876843000</v>
      </c>
    </row>
    <row r="515" spans="1:9" x14ac:dyDescent="0.25">
      <c r="A515" t="s">
        <v>418</v>
      </c>
      <c r="B515" t="s">
        <v>540</v>
      </c>
      <c r="C515" t="s">
        <v>546</v>
      </c>
      <c r="D515">
        <v>20251231</v>
      </c>
      <c r="E515">
        <v>0</v>
      </c>
      <c r="F515" t="s">
        <v>538</v>
      </c>
      <c r="G515" t="s">
        <v>539</v>
      </c>
      <c r="H515" t="s">
        <v>539</v>
      </c>
      <c r="I515">
        <v>3829279000</v>
      </c>
    </row>
    <row r="516" spans="1:9" x14ac:dyDescent="0.25">
      <c r="A516" t="s">
        <v>418</v>
      </c>
      <c r="B516" t="s">
        <v>541</v>
      </c>
      <c r="C516" t="s">
        <v>546</v>
      </c>
      <c r="D516">
        <v>20251231</v>
      </c>
      <c r="E516">
        <v>4</v>
      </c>
      <c r="F516" t="s">
        <v>538</v>
      </c>
      <c r="G516" t="s">
        <v>539</v>
      </c>
      <c r="H516" t="s">
        <v>539</v>
      </c>
      <c r="I516">
        <v>171388000</v>
      </c>
    </row>
    <row r="517" spans="1:9" x14ac:dyDescent="0.25">
      <c r="A517" t="s">
        <v>390</v>
      </c>
      <c r="B517" t="s">
        <v>544</v>
      </c>
      <c r="C517" t="s">
        <v>537</v>
      </c>
      <c r="D517">
        <v>20251231</v>
      </c>
      <c r="E517">
        <v>0</v>
      </c>
      <c r="F517" t="s">
        <v>538</v>
      </c>
      <c r="G517" t="s">
        <v>539</v>
      </c>
      <c r="H517" t="s">
        <v>539</v>
      </c>
      <c r="I517">
        <v>7258715000</v>
      </c>
    </row>
    <row r="518" spans="1:9" x14ac:dyDescent="0.25">
      <c r="A518" t="s">
        <v>442</v>
      </c>
      <c r="B518" t="s">
        <v>540</v>
      </c>
      <c r="C518" t="s">
        <v>537</v>
      </c>
      <c r="D518">
        <v>20251231</v>
      </c>
      <c r="E518">
        <v>0</v>
      </c>
      <c r="F518" t="s">
        <v>538</v>
      </c>
      <c r="G518" t="s">
        <v>539</v>
      </c>
      <c r="H518" t="s">
        <v>539</v>
      </c>
      <c r="I518">
        <v>9185107000</v>
      </c>
    </row>
    <row r="519" spans="1:9" x14ac:dyDescent="0.25">
      <c r="A519" t="s">
        <v>442</v>
      </c>
      <c r="B519" t="s">
        <v>542</v>
      </c>
      <c r="C519" t="s">
        <v>537</v>
      </c>
      <c r="D519">
        <v>20251231</v>
      </c>
      <c r="E519">
        <v>4</v>
      </c>
      <c r="F519" t="s">
        <v>538</v>
      </c>
      <c r="G519" t="s">
        <v>539</v>
      </c>
      <c r="H519" t="s">
        <v>539</v>
      </c>
      <c r="I519">
        <v>10.06</v>
      </c>
    </row>
    <row r="520" spans="1:9" x14ac:dyDescent="0.25">
      <c r="A520" t="s">
        <v>422</v>
      </c>
      <c r="B520" t="s">
        <v>536</v>
      </c>
      <c r="C520" t="s">
        <v>537</v>
      </c>
      <c r="D520">
        <v>20251231</v>
      </c>
      <c r="E520">
        <v>0</v>
      </c>
      <c r="F520" t="s">
        <v>538</v>
      </c>
      <c r="G520" t="s">
        <v>539</v>
      </c>
      <c r="H520" t="s">
        <v>539</v>
      </c>
      <c r="I520">
        <v>21185887000</v>
      </c>
    </row>
    <row r="521" spans="1:9" x14ac:dyDescent="0.25">
      <c r="A521" t="s">
        <v>422</v>
      </c>
      <c r="B521" t="s">
        <v>543</v>
      </c>
      <c r="C521" t="s">
        <v>537</v>
      </c>
      <c r="D521">
        <v>20251231</v>
      </c>
      <c r="E521">
        <v>4</v>
      </c>
      <c r="F521" t="s">
        <v>538</v>
      </c>
      <c r="G521" t="s">
        <v>539</v>
      </c>
      <c r="H521" t="s">
        <v>539</v>
      </c>
      <c r="I521">
        <v>276266000</v>
      </c>
    </row>
    <row r="522" spans="1:9" x14ac:dyDescent="0.25">
      <c r="A522" t="s">
        <v>422</v>
      </c>
      <c r="B522" t="s">
        <v>544</v>
      </c>
      <c r="C522" t="s">
        <v>537</v>
      </c>
      <c r="D522">
        <v>20251231</v>
      </c>
      <c r="E522">
        <v>0</v>
      </c>
      <c r="F522" t="s">
        <v>538</v>
      </c>
      <c r="G522" t="s">
        <v>539</v>
      </c>
      <c r="H522" t="s">
        <v>539</v>
      </c>
      <c r="I522">
        <v>2769365000</v>
      </c>
    </row>
    <row r="523" spans="1:9" x14ac:dyDescent="0.25">
      <c r="A523" t="s">
        <v>102</v>
      </c>
      <c r="B523" t="s">
        <v>542</v>
      </c>
      <c r="C523" t="s">
        <v>537</v>
      </c>
      <c r="D523">
        <v>20251231</v>
      </c>
      <c r="E523">
        <v>4</v>
      </c>
      <c r="F523" t="s">
        <v>538</v>
      </c>
      <c r="G523" t="s">
        <v>539</v>
      </c>
      <c r="H523" t="s">
        <v>539</v>
      </c>
      <c r="I523">
        <v>6.85</v>
      </c>
    </row>
    <row r="524" spans="1:9" x14ac:dyDescent="0.25">
      <c r="A524" t="s">
        <v>102</v>
      </c>
      <c r="B524" t="s">
        <v>543</v>
      </c>
      <c r="C524" t="s">
        <v>537</v>
      </c>
      <c r="D524">
        <v>20251231</v>
      </c>
      <c r="E524">
        <v>4</v>
      </c>
      <c r="F524" t="s">
        <v>538</v>
      </c>
      <c r="G524" t="s">
        <v>539</v>
      </c>
      <c r="H524" t="s">
        <v>539</v>
      </c>
      <c r="I524">
        <v>24225000</v>
      </c>
    </row>
    <row r="525" spans="1:9" x14ac:dyDescent="0.25">
      <c r="A525" t="s">
        <v>104</v>
      </c>
      <c r="B525" t="s">
        <v>541</v>
      </c>
      <c r="C525" t="s">
        <v>537</v>
      </c>
      <c r="D525">
        <v>20251231</v>
      </c>
      <c r="E525">
        <v>4</v>
      </c>
      <c r="F525" t="s">
        <v>538</v>
      </c>
      <c r="G525" t="s">
        <v>539</v>
      </c>
      <c r="H525" t="s">
        <v>539</v>
      </c>
      <c r="I525">
        <v>106109000</v>
      </c>
    </row>
    <row r="526" spans="1:9" x14ac:dyDescent="0.25">
      <c r="A526" t="s">
        <v>104</v>
      </c>
      <c r="B526" t="s">
        <v>543</v>
      </c>
      <c r="C526" t="s">
        <v>537</v>
      </c>
      <c r="D526">
        <v>20251231</v>
      </c>
      <c r="E526">
        <v>4</v>
      </c>
      <c r="F526" t="s">
        <v>538</v>
      </c>
      <c r="G526" t="s">
        <v>539</v>
      </c>
      <c r="H526" t="s">
        <v>539</v>
      </c>
      <c r="I526">
        <v>21559000</v>
      </c>
    </row>
    <row r="527" spans="1:9" x14ac:dyDescent="0.25">
      <c r="A527" t="s">
        <v>88</v>
      </c>
      <c r="B527" t="s">
        <v>540</v>
      </c>
      <c r="C527" t="s">
        <v>537</v>
      </c>
      <c r="D527">
        <v>20251231</v>
      </c>
      <c r="E527">
        <v>0</v>
      </c>
      <c r="F527" t="s">
        <v>538</v>
      </c>
      <c r="G527" t="s">
        <v>539</v>
      </c>
      <c r="H527" t="s">
        <v>539</v>
      </c>
      <c r="I527">
        <v>1248313000</v>
      </c>
    </row>
    <row r="528" spans="1:9" x14ac:dyDescent="0.25">
      <c r="A528" t="s">
        <v>88</v>
      </c>
      <c r="B528" t="s">
        <v>541</v>
      </c>
      <c r="C528" t="s">
        <v>537</v>
      </c>
      <c r="D528">
        <v>20251231</v>
      </c>
      <c r="E528">
        <v>4</v>
      </c>
      <c r="F528" t="s">
        <v>538</v>
      </c>
      <c r="G528" t="s">
        <v>539</v>
      </c>
      <c r="H528" t="s">
        <v>539</v>
      </c>
      <c r="I528">
        <v>60812000</v>
      </c>
    </row>
    <row r="529" spans="1:9" x14ac:dyDescent="0.25">
      <c r="A529" t="s">
        <v>392</v>
      </c>
      <c r="B529" t="s">
        <v>541</v>
      </c>
      <c r="C529" t="s">
        <v>537</v>
      </c>
      <c r="D529">
        <v>20251231</v>
      </c>
      <c r="E529">
        <v>4</v>
      </c>
      <c r="F529" t="s">
        <v>538</v>
      </c>
      <c r="G529" t="s">
        <v>539</v>
      </c>
      <c r="H529" t="s">
        <v>539</v>
      </c>
      <c r="I529">
        <v>888410000</v>
      </c>
    </row>
    <row r="530" spans="1:9" x14ac:dyDescent="0.25">
      <c r="A530" t="s">
        <v>392</v>
      </c>
      <c r="B530" t="s">
        <v>543</v>
      </c>
      <c r="C530" t="s">
        <v>537</v>
      </c>
      <c r="D530">
        <v>20251231</v>
      </c>
      <c r="E530">
        <v>4</v>
      </c>
      <c r="F530" t="s">
        <v>538</v>
      </c>
      <c r="G530" t="s">
        <v>539</v>
      </c>
      <c r="H530" t="s">
        <v>539</v>
      </c>
      <c r="I530">
        <v>201374000</v>
      </c>
    </row>
    <row r="531" spans="1:9" x14ac:dyDescent="0.25">
      <c r="A531" t="s">
        <v>428</v>
      </c>
      <c r="B531" t="s">
        <v>536</v>
      </c>
      <c r="C531" t="s">
        <v>537</v>
      </c>
      <c r="D531">
        <v>20251231</v>
      </c>
      <c r="E531">
        <v>0</v>
      </c>
      <c r="F531" t="s">
        <v>538</v>
      </c>
      <c r="G531" t="s">
        <v>539</v>
      </c>
      <c r="H531" t="s">
        <v>539</v>
      </c>
      <c r="I531">
        <v>15297262000</v>
      </c>
    </row>
    <row r="532" spans="1:9" x14ac:dyDescent="0.25">
      <c r="A532" t="s">
        <v>434</v>
      </c>
      <c r="B532" t="s">
        <v>540</v>
      </c>
      <c r="C532" t="s">
        <v>537</v>
      </c>
      <c r="D532">
        <v>20251231</v>
      </c>
      <c r="E532">
        <v>0</v>
      </c>
      <c r="F532" t="s">
        <v>538</v>
      </c>
      <c r="G532" t="s">
        <v>539</v>
      </c>
      <c r="H532" t="s">
        <v>539</v>
      </c>
      <c r="I532">
        <v>15995121000</v>
      </c>
    </row>
    <row r="533" spans="1:9" x14ac:dyDescent="0.25">
      <c r="A533" t="s">
        <v>434</v>
      </c>
      <c r="B533" t="s">
        <v>541</v>
      </c>
      <c r="C533" t="s">
        <v>537</v>
      </c>
      <c r="D533">
        <v>20251231</v>
      </c>
      <c r="E533">
        <v>4</v>
      </c>
      <c r="F533" t="s">
        <v>538</v>
      </c>
      <c r="G533" t="s">
        <v>539</v>
      </c>
      <c r="H533" t="s">
        <v>539</v>
      </c>
      <c r="I533">
        <v>710992000</v>
      </c>
    </row>
    <row r="534" spans="1:9" x14ac:dyDescent="0.25">
      <c r="A534" t="s">
        <v>434</v>
      </c>
      <c r="B534" t="s">
        <v>536</v>
      </c>
      <c r="C534" t="s">
        <v>537</v>
      </c>
      <c r="D534">
        <v>20251231</v>
      </c>
      <c r="E534">
        <v>0</v>
      </c>
      <c r="F534" t="s">
        <v>538</v>
      </c>
      <c r="G534" t="s">
        <v>539</v>
      </c>
      <c r="H534" t="s">
        <v>539</v>
      </c>
      <c r="I534">
        <v>14098905000</v>
      </c>
    </row>
    <row r="535" spans="1:9" x14ac:dyDescent="0.25">
      <c r="A535" t="s">
        <v>396</v>
      </c>
      <c r="B535" t="s">
        <v>540</v>
      </c>
      <c r="C535" t="s">
        <v>537</v>
      </c>
      <c r="D535">
        <v>20251231</v>
      </c>
      <c r="E535">
        <v>0</v>
      </c>
      <c r="F535" t="s">
        <v>538</v>
      </c>
      <c r="G535" t="s">
        <v>539</v>
      </c>
      <c r="H535" t="s">
        <v>539</v>
      </c>
      <c r="I535">
        <v>6258818000</v>
      </c>
    </row>
    <row r="536" spans="1:9" x14ac:dyDescent="0.25">
      <c r="A536" t="s">
        <v>396</v>
      </c>
      <c r="B536" t="s">
        <v>541</v>
      </c>
      <c r="C536" t="s">
        <v>537</v>
      </c>
      <c r="D536">
        <v>20251231</v>
      </c>
      <c r="E536">
        <v>4</v>
      </c>
      <c r="F536" t="s">
        <v>538</v>
      </c>
      <c r="G536" t="s">
        <v>539</v>
      </c>
      <c r="H536" t="s">
        <v>539</v>
      </c>
      <c r="I536">
        <v>310028000</v>
      </c>
    </row>
    <row r="537" spans="1:9" x14ac:dyDescent="0.25">
      <c r="A537" t="s">
        <v>296</v>
      </c>
      <c r="B537" t="s">
        <v>542</v>
      </c>
      <c r="C537" t="s">
        <v>537</v>
      </c>
      <c r="D537">
        <v>20251231</v>
      </c>
      <c r="E537">
        <v>4</v>
      </c>
      <c r="F537" t="s">
        <v>538</v>
      </c>
      <c r="G537" t="s">
        <v>539</v>
      </c>
      <c r="H537" t="s">
        <v>539</v>
      </c>
      <c r="I537">
        <v>6.34</v>
      </c>
    </row>
    <row r="538" spans="1:9" x14ac:dyDescent="0.25">
      <c r="A538" t="s">
        <v>96</v>
      </c>
      <c r="B538" t="s">
        <v>542</v>
      </c>
      <c r="C538" t="s">
        <v>537</v>
      </c>
      <c r="D538">
        <v>20251231</v>
      </c>
      <c r="E538">
        <v>4</v>
      </c>
      <c r="F538" t="s">
        <v>538</v>
      </c>
      <c r="G538" t="s">
        <v>539</v>
      </c>
      <c r="H538" t="s">
        <v>539</v>
      </c>
      <c r="I538">
        <v>134.96</v>
      </c>
    </row>
    <row r="539" spans="1:9" x14ac:dyDescent="0.25">
      <c r="A539" t="s">
        <v>96</v>
      </c>
      <c r="B539" t="s">
        <v>541</v>
      </c>
      <c r="C539" t="s">
        <v>537</v>
      </c>
      <c r="D539">
        <v>20251231</v>
      </c>
      <c r="E539">
        <v>4</v>
      </c>
      <c r="F539" t="s">
        <v>538</v>
      </c>
      <c r="G539" t="s">
        <v>539</v>
      </c>
      <c r="H539" t="s">
        <v>539</v>
      </c>
      <c r="I539">
        <v>279492000</v>
      </c>
    </row>
    <row r="540" spans="1:9" x14ac:dyDescent="0.25">
      <c r="A540" t="s">
        <v>54</v>
      </c>
      <c r="B540" t="s">
        <v>536</v>
      </c>
      <c r="C540" t="s">
        <v>537</v>
      </c>
      <c r="D540">
        <v>20251231</v>
      </c>
      <c r="E540">
        <v>0</v>
      </c>
      <c r="F540" t="s">
        <v>538</v>
      </c>
      <c r="G540" t="s">
        <v>539</v>
      </c>
      <c r="H540" t="s">
        <v>539</v>
      </c>
      <c r="I540">
        <v>2790755000</v>
      </c>
    </row>
    <row r="541" spans="1:9" x14ac:dyDescent="0.25">
      <c r="A541" t="s">
        <v>58</v>
      </c>
      <c r="B541" t="s">
        <v>540</v>
      </c>
      <c r="C541" t="s">
        <v>537</v>
      </c>
      <c r="D541">
        <v>20251231</v>
      </c>
      <c r="E541">
        <v>0</v>
      </c>
      <c r="F541" t="s">
        <v>538</v>
      </c>
      <c r="G541" t="s">
        <v>539</v>
      </c>
      <c r="H541" t="s">
        <v>539</v>
      </c>
      <c r="I541">
        <v>5598606000</v>
      </c>
    </row>
    <row r="542" spans="1:9" x14ac:dyDescent="0.25">
      <c r="A542" t="s">
        <v>430</v>
      </c>
      <c r="B542" t="s">
        <v>536</v>
      </c>
      <c r="C542" t="s">
        <v>546</v>
      </c>
      <c r="D542">
        <v>20251231</v>
      </c>
      <c r="E542">
        <v>0</v>
      </c>
      <c r="F542" t="s">
        <v>538</v>
      </c>
      <c r="G542" t="s">
        <v>539</v>
      </c>
      <c r="H542" t="s">
        <v>539</v>
      </c>
      <c r="I542">
        <v>16248358000</v>
      </c>
    </row>
    <row r="543" spans="1:9" x14ac:dyDescent="0.25">
      <c r="A543" t="s">
        <v>298</v>
      </c>
      <c r="B543" t="s">
        <v>536</v>
      </c>
      <c r="C543" t="s">
        <v>537</v>
      </c>
      <c r="D543">
        <v>20251231</v>
      </c>
      <c r="E543">
        <v>0</v>
      </c>
      <c r="F543" t="s">
        <v>538</v>
      </c>
      <c r="G543" t="s">
        <v>539</v>
      </c>
      <c r="H543" t="s">
        <v>539</v>
      </c>
      <c r="I543">
        <v>164174800000</v>
      </c>
    </row>
    <row r="544" spans="1:9" x14ac:dyDescent="0.25">
      <c r="A544" t="s">
        <v>298</v>
      </c>
      <c r="B544" t="s">
        <v>544</v>
      </c>
      <c r="C544" t="s">
        <v>537</v>
      </c>
      <c r="D544">
        <v>20251231</v>
      </c>
      <c r="E544">
        <v>0</v>
      </c>
      <c r="F544" t="s">
        <v>538</v>
      </c>
      <c r="G544" t="s">
        <v>539</v>
      </c>
      <c r="H544" t="s">
        <v>539</v>
      </c>
      <c r="I544">
        <v>12957900000</v>
      </c>
    </row>
    <row r="545" spans="1:9" x14ac:dyDescent="0.25">
      <c r="A545" t="s">
        <v>88</v>
      </c>
      <c r="B545" t="s">
        <v>536</v>
      </c>
      <c r="C545" t="s">
        <v>537</v>
      </c>
      <c r="D545">
        <v>20251231</v>
      </c>
      <c r="E545">
        <v>0</v>
      </c>
      <c r="F545" t="s">
        <v>538</v>
      </c>
      <c r="G545" t="s">
        <v>539</v>
      </c>
      <c r="H545" t="s">
        <v>539</v>
      </c>
      <c r="I545">
        <v>1108630000</v>
      </c>
    </row>
    <row r="546" spans="1:9" x14ac:dyDescent="0.25">
      <c r="A546" t="s">
        <v>64</v>
      </c>
      <c r="B546" t="s">
        <v>544</v>
      </c>
      <c r="C546" t="s">
        <v>537</v>
      </c>
      <c r="D546">
        <v>20251231</v>
      </c>
      <c r="E546">
        <v>0</v>
      </c>
      <c r="F546" t="s">
        <v>538</v>
      </c>
      <c r="G546" t="s">
        <v>539</v>
      </c>
      <c r="H546" t="s">
        <v>539</v>
      </c>
      <c r="I546">
        <v>265638000</v>
      </c>
    </row>
    <row r="547" spans="1:9" x14ac:dyDescent="0.25">
      <c r="A547" t="s">
        <v>434</v>
      </c>
      <c r="B547" t="s">
        <v>542</v>
      </c>
      <c r="C547" t="s">
        <v>537</v>
      </c>
      <c r="D547">
        <v>20251231</v>
      </c>
      <c r="E547">
        <v>4</v>
      </c>
      <c r="F547" t="s">
        <v>538</v>
      </c>
      <c r="G547" t="s">
        <v>539</v>
      </c>
      <c r="H547" t="s">
        <v>539</v>
      </c>
      <c r="I547">
        <v>3.34</v>
      </c>
    </row>
    <row r="548" spans="1:9" x14ac:dyDescent="0.25">
      <c r="A548" t="s">
        <v>98</v>
      </c>
      <c r="B548" t="s">
        <v>542</v>
      </c>
      <c r="C548" t="s">
        <v>537</v>
      </c>
      <c r="D548">
        <v>20251231</v>
      </c>
      <c r="E548">
        <v>4</v>
      </c>
      <c r="F548" t="s">
        <v>538</v>
      </c>
      <c r="G548" t="s">
        <v>539</v>
      </c>
      <c r="H548" t="s">
        <v>539</v>
      </c>
      <c r="I548">
        <v>3.26</v>
      </c>
    </row>
    <row r="549" spans="1:9" x14ac:dyDescent="0.25">
      <c r="A549" t="s">
        <v>98</v>
      </c>
      <c r="B549" t="s">
        <v>541</v>
      </c>
      <c r="C549" t="s">
        <v>537</v>
      </c>
      <c r="D549">
        <v>20251231</v>
      </c>
      <c r="E549">
        <v>4</v>
      </c>
      <c r="F549" t="s">
        <v>538</v>
      </c>
      <c r="G549" t="s">
        <v>539</v>
      </c>
      <c r="H549" t="s">
        <v>539</v>
      </c>
      <c r="I549">
        <v>259416000</v>
      </c>
    </row>
    <row r="550" spans="1:9" x14ac:dyDescent="0.25">
      <c r="A550" t="s">
        <v>70</v>
      </c>
      <c r="B550" t="s">
        <v>542</v>
      </c>
      <c r="C550" t="s">
        <v>537</v>
      </c>
      <c r="D550">
        <v>20251231</v>
      </c>
      <c r="E550">
        <v>4</v>
      </c>
      <c r="F550" t="s">
        <v>538</v>
      </c>
      <c r="G550" t="s">
        <v>539</v>
      </c>
      <c r="H550" t="s">
        <v>539</v>
      </c>
      <c r="I550">
        <v>3.33</v>
      </c>
    </row>
    <row r="551" spans="1:9" x14ac:dyDescent="0.25">
      <c r="A551" t="s">
        <v>438</v>
      </c>
      <c r="B551" t="s">
        <v>542</v>
      </c>
      <c r="C551" t="s">
        <v>537</v>
      </c>
      <c r="D551">
        <v>20251231</v>
      </c>
      <c r="E551">
        <v>4</v>
      </c>
      <c r="F551" t="s">
        <v>538</v>
      </c>
      <c r="G551" t="s">
        <v>539</v>
      </c>
      <c r="H551" t="s">
        <v>539</v>
      </c>
      <c r="I551">
        <v>5.0599999999999996</v>
      </c>
    </row>
    <row r="552" spans="1:9" x14ac:dyDescent="0.25">
      <c r="A552" t="s">
        <v>100</v>
      </c>
      <c r="B552" t="s">
        <v>536</v>
      </c>
      <c r="C552" t="s">
        <v>537</v>
      </c>
      <c r="D552">
        <v>20251231</v>
      </c>
      <c r="E552">
        <v>0</v>
      </c>
      <c r="F552" t="s">
        <v>538</v>
      </c>
      <c r="G552" t="s">
        <v>539</v>
      </c>
      <c r="H552" t="s">
        <v>539</v>
      </c>
      <c r="I552">
        <v>1712645000</v>
      </c>
    </row>
    <row r="553" spans="1:9" x14ac:dyDescent="0.25">
      <c r="A553" t="s">
        <v>440</v>
      </c>
      <c r="B553" t="s">
        <v>540</v>
      </c>
      <c r="C553" t="s">
        <v>537</v>
      </c>
      <c r="D553">
        <v>20251231</v>
      </c>
      <c r="E553">
        <v>0</v>
      </c>
      <c r="F553" t="s">
        <v>538</v>
      </c>
      <c r="G553" t="s">
        <v>539</v>
      </c>
      <c r="H553" t="s">
        <v>539</v>
      </c>
      <c r="I553">
        <v>5960180000</v>
      </c>
    </row>
    <row r="554" spans="1:9" x14ac:dyDescent="0.25">
      <c r="A554" t="s">
        <v>72</v>
      </c>
      <c r="B554" t="s">
        <v>536</v>
      </c>
      <c r="C554" t="s">
        <v>537</v>
      </c>
      <c r="D554">
        <v>20251231</v>
      </c>
      <c r="E554">
        <v>0</v>
      </c>
      <c r="F554" t="s">
        <v>538</v>
      </c>
      <c r="G554" t="s">
        <v>539</v>
      </c>
      <c r="H554" t="s">
        <v>539</v>
      </c>
      <c r="I554">
        <v>10991490000</v>
      </c>
    </row>
    <row r="555" spans="1:9" x14ac:dyDescent="0.25">
      <c r="A555" t="s">
        <v>74</v>
      </c>
      <c r="B555" t="s">
        <v>542</v>
      </c>
      <c r="C555" t="s">
        <v>537</v>
      </c>
      <c r="D555">
        <v>20251231</v>
      </c>
      <c r="E555">
        <v>4</v>
      </c>
      <c r="F555" t="s">
        <v>538</v>
      </c>
      <c r="G555" t="s">
        <v>539</v>
      </c>
      <c r="H555" t="s">
        <v>539</v>
      </c>
      <c r="I555">
        <v>3</v>
      </c>
    </row>
    <row r="556" spans="1:9" x14ac:dyDescent="0.25">
      <c r="A556" t="s">
        <v>102</v>
      </c>
      <c r="B556" t="s">
        <v>541</v>
      </c>
      <c r="C556" t="s">
        <v>537</v>
      </c>
      <c r="D556">
        <v>20251231</v>
      </c>
      <c r="E556">
        <v>4</v>
      </c>
      <c r="F556" t="s">
        <v>538</v>
      </c>
      <c r="G556" t="s">
        <v>539</v>
      </c>
      <c r="H556" t="s">
        <v>539</v>
      </c>
      <c r="I556">
        <v>88018000</v>
      </c>
    </row>
    <row r="557" spans="1:9" x14ac:dyDescent="0.25">
      <c r="A557" t="s">
        <v>80</v>
      </c>
      <c r="B557" t="s">
        <v>542</v>
      </c>
      <c r="C557" t="s">
        <v>537</v>
      </c>
      <c r="D557">
        <v>20251231</v>
      </c>
      <c r="E557">
        <v>4</v>
      </c>
      <c r="F557" t="s">
        <v>538</v>
      </c>
      <c r="G557" t="s">
        <v>539</v>
      </c>
      <c r="H557" t="s">
        <v>539</v>
      </c>
      <c r="I557">
        <v>1.34</v>
      </c>
    </row>
    <row r="558" spans="1:9" x14ac:dyDescent="0.25">
      <c r="A558" t="s">
        <v>80</v>
      </c>
      <c r="B558" t="s">
        <v>541</v>
      </c>
      <c r="C558" t="s">
        <v>537</v>
      </c>
      <c r="D558">
        <v>20251231</v>
      </c>
      <c r="E558">
        <v>4</v>
      </c>
      <c r="F558" t="s">
        <v>538</v>
      </c>
      <c r="G558" t="s">
        <v>539</v>
      </c>
      <c r="H558" t="s">
        <v>539</v>
      </c>
      <c r="I558">
        <v>41489000</v>
      </c>
    </row>
    <row r="559" spans="1:9" x14ac:dyDescent="0.25">
      <c r="A559" t="s">
        <v>80</v>
      </c>
      <c r="B559" t="s">
        <v>536</v>
      </c>
      <c r="C559" t="s">
        <v>537</v>
      </c>
      <c r="D559">
        <v>20251231</v>
      </c>
      <c r="E559">
        <v>0</v>
      </c>
      <c r="F559" t="s">
        <v>538</v>
      </c>
      <c r="G559" t="s">
        <v>539</v>
      </c>
      <c r="H559" t="s">
        <v>539</v>
      </c>
      <c r="I559">
        <v>786930000</v>
      </c>
    </row>
    <row r="560" spans="1:9" x14ac:dyDescent="0.25">
      <c r="A560" t="s">
        <v>80</v>
      </c>
      <c r="B560" t="s">
        <v>543</v>
      </c>
      <c r="C560" t="s">
        <v>537</v>
      </c>
      <c r="D560">
        <v>20251231</v>
      </c>
      <c r="E560">
        <v>4</v>
      </c>
      <c r="F560" t="s">
        <v>538</v>
      </c>
      <c r="G560" t="s">
        <v>539</v>
      </c>
      <c r="H560" t="s">
        <v>539</v>
      </c>
      <c r="I560">
        <v>7753000</v>
      </c>
    </row>
    <row r="561" spans="1:9" x14ac:dyDescent="0.25">
      <c r="A561" t="s">
        <v>50</v>
      </c>
      <c r="B561" t="s">
        <v>540</v>
      </c>
      <c r="C561" t="s">
        <v>537</v>
      </c>
      <c r="D561">
        <v>20251231</v>
      </c>
      <c r="E561">
        <v>0</v>
      </c>
      <c r="F561" t="s">
        <v>538</v>
      </c>
      <c r="G561" t="s">
        <v>539</v>
      </c>
      <c r="H561" t="s">
        <v>539</v>
      </c>
      <c r="I561">
        <v>3350910000</v>
      </c>
    </row>
    <row r="562" spans="1:9" x14ac:dyDescent="0.25">
      <c r="A562" t="s">
        <v>402</v>
      </c>
      <c r="B562" t="s">
        <v>536</v>
      </c>
      <c r="C562" t="s">
        <v>537</v>
      </c>
      <c r="D562">
        <v>20251231</v>
      </c>
      <c r="E562">
        <v>0</v>
      </c>
      <c r="F562" t="s">
        <v>538</v>
      </c>
      <c r="G562" t="s">
        <v>539</v>
      </c>
      <c r="H562" t="s">
        <v>539</v>
      </c>
      <c r="I562">
        <v>27908892000</v>
      </c>
    </row>
    <row r="563" spans="1:9" x14ac:dyDescent="0.25">
      <c r="A563" t="s">
        <v>84</v>
      </c>
      <c r="B563" t="s">
        <v>544</v>
      </c>
      <c r="C563" t="s">
        <v>537</v>
      </c>
      <c r="D563">
        <v>20251231</v>
      </c>
      <c r="E563">
        <v>0</v>
      </c>
      <c r="F563" t="s">
        <v>538</v>
      </c>
      <c r="G563" t="s">
        <v>539</v>
      </c>
      <c r="H563" t="s">
        <v>539</v>
      </c>
      <c r="I563">
        <v>57373000</v>
      </c>
    </row>
    <row r="564" spans="1:9" x14ac:dyDescent="0.25">
      <c r="A564" t="s">
        <v>436</v>
      </c>
      <c r="B564" t="s">
        <v>541</v>
      </c>
      <c r="C564" t="s">
        <v>537</v>
      </c>
      <c r="D564">
        <v>20251231</v>
      </c>
      <c r="E564">
        <v>4</v>
      </c>
      <c r="F564" t="s">
        <v>538</v>
      </c>
      <c r="G564" t="s">
        <v>539</v>
      </c>
      <c r="H564" t="s">
        <v>539</v>
      </c>
      <c r="I564">
        <v>192225000</v>
      </c>
    </row>
    <row r="565" spans="1:9" x14ac:dyDescent="0.25">
      <c r="A565" t="s">
        <v>436</v>
      </c>
      <c r="B565" t="s">
        <v>536</v>
      </c>
      <c r="C565" t="s">
        <v>537</v>
      </c>
      <c r="D565">
        <v>20251231</v>
      </c>
      <c r="E565">
        <v>0</v>
      </c>
      <c r="F565" t="s">
        <v>538</v>
      </c>
      <c r="G565" t="s">
        <v>539</v>
      </c>
      <c r="H565" t="s">
        <v>539</v>
      </c>
      <c r="I565">
        <v>3876259000</v>
      </c>
    </row>
    <row r="566" spans="1:9" x14ac:dyDescent="0.25">
      <c r="A566" t="s">
        <v>440</v>
      </c>
      <c r="B566" t="s">
        <v>541</v>
      </c>
      <c r="C566" t="s">
        <v>537</v>
      </c>
      <c r="D566">
        <v>20251231</v>
      </c>
      <c r="E566">
        <v>4</v>
      </c>
      <c r="F566" t="s">
        <v>538</v>
      </c>
      <c r="G566" t="s">
        <v>539</v>
      </c>
      <c r="H566" t="s">
        <v>539</v>
      </c>
      <c r="I566">
        <v>230980000</v>
      </c>
    </row>
    <row r="567" spans="1:9" x14ac:dyDescent="0.25">
      <c r="A567" t="s">
        <v>442</v>
      </c>
      <c r="B567" t="s">
        <v>543</v>
      </c>
      <c r="C567" t="s">
        <v>537</v>
      </c>
      <c r="D567">
        <v>20251231</v>
      </c>
      <c r="E567">
        <v>4</v>
      </c>
      <c r="F567" t="s">
        <v>538</v>
      </c>
      <c r="G567" t="s">
        <v>539</v>
      </c>
      <c r="H567" t="s">
        <v>539</v>
      </c>
      <c r="I567">
        <v>150686000</v>
      </c>
    </row>
    <row r="568" spans="1:9" x14ac:dyDescent="0.25">
      <c r="A568" t="s">
        <v>442</v>
      </c>
      <c r="B568" t="s">
        <v>544</v>
      </c>
      <c r="C568" t="s">
        <v>537</v>
      </c>
      <c r="D568">
        <v>20251231</v>
      </c>
      <c r="E568">
        <v>0</v>
      </c>
      <c r="F568" t="s">
        <v>538</v>
      </c>
      <c r="G568" t="s">
        <v>539</v>
      </c>
      <c r="H568" t="s">
        <v>539</v>
      </c>
      <c r="I568">
        <v>1257662000</v>
      </c>
    </row>
    <row r="569" spans="1:9" x14ac:dyDescent="0.25">
      <c r="A569" t="s">
        <v>430</v>
      </c>
      <c r="B569" t="s">
        <v>540</v>
      </c>
      <c r="C569" t="s">
        <v>546</v>
      </c>
      <c r="D569">
        <v>20251231</v>
      </c>
      <c r="E569">
        <v>0</v>
      </c>
      <c r="F569" t="s">
        <v>538</v>
      </c>
      <c r="G569" t="s">
        <v>539</v>
      </c>
      <c r="H569" t="s">
        <v>539</v>
      </c>
      <c r="I569">
        <v>18531626000</v>
      </c>
    </row>
    <row r="570" spans="1:9" x14ac:dyDescent="0.25">
      <c r="A570" t="s">
        <v>430</v>
      </c>
      <c r="B570" t="s">
        <v>544</v>
      </c>
      <c r="C570" t="s">
        <v>546</v>
      </c>
      <c r="D570">
        <v>20251231</v>
      </c>
      <c r="E570">
        <v>0</v>
      </c>
      <c r="F570" t="s">
        <v>538</v>
      </c>
      <c r="G570" t="s">
        <v>539</v>
      </c>
      <c r="H570" t="s">
        <v>539</v>
      </c>
      <c r="I570">
        <v>2283268000</v>
      </c>
    </row>
    <row r="571" spans="1:9" x14ac:dyDescent="0.25">
      <c r="A571" t="s">
        <v>444</v>
      </c>
      <c r="B571" t="s">
        <v>543</v>
      </c>
      <c r="C571" t="s">
        <v>537</v>
      </c>
      <c r="D571">
        <v>20251231</v>
      </c>
      <c r="E571">
        <v>4</v>
      </c>
      <c r="F571" t="s">
        <v>538</v>
      </c>
      <c r="G571" t="s">
        <v>539</v>
      </c>
      <c r="H571" t="s">
        <v>539</v>
      </c>
      <c r="I571">
        <v>224135000</v>
      </c>
    </row>
    <row r="572" spans="1:9" x14ac:dyDescent="0.25">
      <c r="A572" t="s">
        <v>92</v>
      </c>
      <c r="B572" t="s">
        <v>540</v>
      </c>
      <c r="C572" t="s">
        <v>537</v>
      </c>
      <c r="D572">
        <v>20251231</v>
      </c>
      <c r="E572">
        <v>0</v>
      </c>
      <c r="F572" t="s">
        <v>538</v>
      </c>
      <c r="G572" t="s">
        <v>539</v>
      </c>
      <c r="H572" t="s">
        <v>539</v>
      </c>
      <c r="I572">
        <v>3064564000</v>
      </c>
    </row>
    <row r="573" spans="1:9" x14ac:dyDescent="0.25">
      <c r="A573" t="s">
        <v>98</v>
      </c>
      <c r="B573" t="s">
        <v>543</v>
      </c>
      <c r="C573" t="s">
        <v>537</v>
      </c>
      <c r="D573">
        <v>20251231</v>
      </c>
      <c r="E573">
        <v>4</v>
      </c>
      <c r="F573" t="s">
        <v>538</v>
      </c>
      <c r="G573" t="s">
        <v>539</v>
      </c>
      <c r="H573" t="s">
        <v>539</v>
      </c>
      <c r="I573">
        <v>61137000</v>
      </c>
    </row>
    <row r="574" spans="1:9" x14ac:dyDescent="0.25">
      <c r="A574" t="s">
        <v>448</v>
      </c>
      <c r="B574" t="s">
        <v>540</v>
      </c>
      <c r="C574" t="s">
        <v>537</v>
      </c>
      <c r="D574">
        <v>20251231</v>
      </c>
      <c r="E574">
        <v>0</v>
      </c>
      <c r="F574" t="s">
        <v>538</v>
      </c>
      <c r="G574" t="s">
        <v>539</v>
      </c>
      <c r="H574" t="s">
        <v>539</v>
      </c>
      <c r="I574">
        <v>15446476000</v>
      </c>
    </row>
    <row r="575" spans="1:9" x14ac:dyDescent="0.25">
      <c r="A575" t="s">
        <v>448</v>
      </c>
      <c r="B575" t="s">
        <v>542</v>
      </c>
      <c r="C575" t="s">
        <v>537</v>
      </c>
      <c r="D575">
        <v>20251231</v>
      </c>
      <c r="E575">
        <v>4</v>
      </c>
      <c r="F575" t="s">
        <v>538</v>
      </c>
      <c r="G575" t="s">
        <v>539</v>
      </c>
      <c r="H575" t="s">
        <v>539</v>
      </c>
      <c r="I575">
        <v>1.77</v>
      </c>
    </row>
    <row r="576" spans="1:9" x14ac:dyDescent="0.25">
      <c r="A576" t="s">
        <v>436</v>
      </c>
      <c r="B576" t="s">
        <v>542</v>
      </c>
      <c r="C576" t="s">
        <v>537</v>
      </c>
      <c r="D576">
        <v>20251231</v>
      </c>
      <c r="E576">
        <v>4</v>
      </c>
      <c r="F576" t="s">
        <v>538</v>
      </c>
      <c r="G576" t="s">
        <v>539</v>
      </c>
      <c r="H576" t="s">
        <v>539</v>
      </c>
      <c r="I576">
        <v>1.92</v>
      </c>
    </row>
    <row r="577" spans="1:9" x14ac:dyDescent="0.25">
      <c r="A577" t="s">
        <v>438</v>
      </c>
      <c r="B577" t="s">
        <v>540</v>
      </c>
      <c r="C577" t="s">
        <v>537</v>
      </c>
      <c r="D577">
        <v>20251231</v>
      </c>
      <c r="E577">
        <v>0</v>
      </c>
      <c r="F577" t="s">
        <v>538</v>
      </c>
      <c r="G577" t="s">
        <v>539</v>
      </c>
      <c r="H577" t="s">
        <v>539</v>
      </c>
      <c r="I577">
        <v>17727190000</v>
      </c>
    </row>
    <row r="578" spans="1:9" x14ac:dyDescent="0.25">
      <c r="A578" t="s">
        <v>438</v>
      </c>
      <c r="B578" t="s">
        <v>543</v>
      </c>
      <c r="C578" t="s">
        <v>537</v>
      </c>
      <c r="D578">
        <v>20251231</v>
      </c>
      <c r="E578">
        <v>4</v>
      </c>
      <c r="F578" t="s">
        <v>538</v>
      </c>
      <c r="G578" t="s">
        <v>539</v>
      </c>
      <c r="H578" t="s">
        <v>539</v>
      </c>
      <c r="I578">
        <v>276603000</v>
      </c>
    </row>
    <row r="579" spans="1:9" x14ac:dyDescent="0.25">
      <c r="A579" t="s">
        <v>440</v>
      </c>
      <c r="B579" t="s">
        <v>536</v>
      </c>
      <c r="C579" t="s">
        <v>537</v>
      </c>
      <c r="D579">
        <v>20251231</v>
      </c>
      <c r="E579">
        <v>0</v>
      </c>
      <c r="F579" t="s">
        <v>538</v>
      </c>
      <c r="G579" t="s">
        <v>539</v>
      </c>
      <c r="H579" t="s">
        <v>539</v>
      </c>
      <c r="I579">
        <v>5026671000</v>
      </c>
    </row>
    <row r="580" spans="1:9" x14ac:dyDescent="0.25">
      <c r="A580" t="s">
        <v>406</v>
      </c>
      <c r="B580" t="s">
        <v>542</v>
      </c>
      <c r="C580" t="s">
        <v>537</v>
      </c>
      <c r="D580">
        <v>20251231</v>
      </c>
      <c r="E580">
        <v>4</v>
      </c>
      <c r="F580" t="s">
        <v>538</v>
      </c>
      <c r="G580" t="s">
        <v>539</v>
      </c>
      <c r="H580" t="s">
        <v>539</v>
      </c>
      <c r="I580">
        <v>7.9</v>
      </c>
    </row>
    <row r="581" spans="1:9" x14ac:dyDescent="0.25">
      <c r="A581" t="s">
        <v>406</v>
      </c>
      <c r="B581" t="s">
        <v>543</v>
      </c>
      <c r="C581" t="s">
        <v>537</v>
      </c>
      <c r="D581">
        <v>20251231</v>
      </c>
      <c r="E581">
        <v>4</v>
      </c>
      <c r="F581" t="s">
        <v>538</v>
      </c>
      <c r="G581" t="s">
        <v>539</v>
      </c>
      <c r="H581" t="s">
        <v>539</v>
      </c>
      <c r="I581">
        <v>798667000</v>
      </c>
    </row>
    <row r="582" spans="1:9" x14ac:dyDescent="0.25">
      <c r="A582" t="s">
        <v>442</v>
      </c>
      <c r="B582" t="s">
        <v>541</v>
      </c>
      <c r="C582" t="s">
        <v>537</v>
      </c>
      <c r="D582">
        <v>20251231</v>
      </c>
      <c r="E582">
        <v>4</v>
      </c>
      <c r="F582" t="s">
        <v>538</v>
      </c>
      <c r="G582" t="s">
        <v>539</v>
      </c>
      <c r="H582" t="s">
        <v>539</v>
      </c>
      <c r="I582">
        <v>470950000</v>
      </c>
    </row>
    <row r="583" spans="1:9" x14ac:dyDescent="0.25">
      <c r="A583" t="s">
        <v>104</v>
      </c>
      <c r="B583" t="s">
        <v>544</v>
      </c>
      <c r="C583" t="s">
        <v>537</v>
      </c>
      <c r="D583">
        <v>20251231</v>
      </c>
      <c r="E583">
        <v>0</v>
      </c>
      <c r="F583" t="s">
        <v>538</v>
      </c>
      <c r="G583" t="s">
        <v>539</v>
      </c>
      <c r="H583" t="s">
        <v>539</v>
      </c>
      <c r="I583">
        <v>161054000</v>
      </c>
    </row>
    <row r="584" spans="1:9" x14ac:dyDescent="0.25">
      <c r="A584" t="s">
        <v>408</v>
      </c>
      <c r="B584" t="s">
        <v>544</v>
      </c>
      <c r="C584" t="s">
        <v>537</v>
      </c>
      <c r="D584">
        <v>20251231</v>
      </c>
      <c r="E584">
        <v>0</v>
      </c>
      <c r="F584" t="s">
        <v>538</v>
      </c>
      <c r="G584" t="s">
        <v>539</v>
      </c>
      <c r="H584" t="s">
        <v>539</v>
      </c>
      <c r="I584">
        <v>743112000</v>
      </c>
    </row>
    <row r="585" spans="1:9" x14ac:dyDescent="0.25">
      <c r="A585" t="s">
        <v>410</v>
      </c>
      <c r="B585" t="s">
        <v>542</v>
      </c>
      <c r="C585" t="s">
        <v>537</v>
      </c>
      <c r="D585">
        <v>20251231</v>
      </c>
      <c r="E585">
        <v>4</v>
      </c>
      <c r="F585" t="s">
        <v>538</v>
      </c>
      <c r="G585" t="s">
        <v>539</v>
      </c>
      <c r="H585" t="s">
        <v>539</v>
      </c>
      <c r="I585">
        <v>2.86</v>
      </c>
    </row>
    <row r="586" spans="1:9" x14ac:dyDescent="0.25">
      <c r="A586" t="s">
        <v>450</v>
      </c>
      <c r="B586" t="s">
        <v>542</v>
      </c>
      <c r="C586" t="s">
        <v>537</v>
      </c>
      <c r="D586">
        <v>20251231</v>
      </c>
      <c r="E586">
        <v>4</v>
      </c>
      <c r="F586" t="s">
        <v>538</v>
      </c>
      <c r="G586" t="s">
        <v>539</v>
      </c>
      <c r="H586" t="s">
        <v>539</v>
      </c>
      <c r="I586">
        <v>7.22</v>
      </c>
    </row>
    <row r="587" spans="1:9" x14ac:dyDescent="0.25">
      <c r="A587" t="s">
        <v>450</v>
      </c>
      <c r="B587" t="s">
        <v>543</v>
      </c>
      <c r="C587" t="s">
        <v>537</v>
      </c>
      <c r="D587">
        <v>20251231</v>
      </c>
      <c r="E587">
        <v>4</v>
      </c>
      <c r="F587" t="s">
        <v>538</v>
      </c>
      <c r="G587" t="s">
        <v>539</v>
      </c>
      <c r="H587" t="s">
        <v>539</v>
      </c>
      <c r="I587">
        <v>240610000</v>
      </c>
    </row>
    <row r="588" spans="1:9" x14ac:dyDescent="0.25">
      <c r="A588" t="s">
        <v>452</v>
      </c>
      <c r="B588" t="s">
        <v>536</v>
      </c>
      <c r="C588" t="s">
        <v>537</v>
      </c>
      <c r="D588">
        <v>20251231</v>
      </c>
      <c r="E588">
        <v>0</v>
      </c>
      <c r="F588" t="s">
        <v>538</v>
      </c>
      <c r="G588" t="s">
        <v>539</v>
      </c>
      <c r="H588" t="s">
        <v>539</v>
      </c>
      <c r="I588">
        <v>65400522000</v>
      </c>
    </row>
    <row r="589" spans="1:9" x14ac:dyDescent="0.25">
      <c r="A589" t="s">
        <v>412</v>
      </c>
      <c r="B589" t="s">
        <v>540</v>
      </c>
      <c r="C589" t="s">
        <v>537</v>
      </c>
      <c r="D589">
        <v>20251231</v>
      </c>
      <c r="E589">
        <v>0</v>
      </c>
      <c r="F589" t="s">
        <v>538</v>
      </c>
      <c r="G589" t="s">
        <v>539</v>
      </c>
      <c r="H589" t="s">
        <v>539</v>
      </c>
      <c r="I589">
        <v>5407002000</v>
      </c>
    </row>
    <row r="590" spans="1:9" x14ac:dyDescent="0.25">
      <c r="A590" t="s">
        <v>412</v>
      </c>
      <c r="B590" t="s">
        <v>541</v>
      </c>
      <c r="C590" t="s">
        <v>537</v>
      </c>
      <c r="D590">
        <v>20251231</v>
      </c>
      <c r="E590">
        <v>4</v>
      </c>
      <c r="F590" t="s">
        <v>538</v>
      </c>
      <c r="G590" t="s">
        <v>539</v>
      </c>
      <c r="H590" t="s">
        <v>539</v>
      </c>
      <c r="I590">
        <v>281848000</v>
      </c>
    </row>
    <row r="591" spans="1:9" x14ac:dyDescent="0.25">
      <c r="A591" t="s">
        <v>414</v>
      </c>
      <c r="B591" t="s">
        <v>542</v>
      </c>
      <c r="C591" t="s">
        <v>546</v>
      </c>
      <c r="D591">
        <v>20251231</v>
      </c>
      <c r="E591">
        <v>4</v>
      </c>
      <c r="F591" t="s">
        <v>538</v>
      </c>
      <c r="G591" t="s">
        <v>539</v>
      </c>
      <c r="H591" t="s">
        <v>539</v>
      </c>
      <c r="I591">
        <v>1.64</v>
      </c>
    </row>
    <row r="592" spans="1:9" x14ac:dyDescent="0.25">
      <c r="A592" t="s">
        <v>414</v>
      </c>
      <c r="B592" t="s">
        <v>543</v>
      </c>
      <c r="C592" t="s">
        <v>546</v>
      </c>
      <c r="D592">
        <v>20251231</v>
      </c>
      <c r="E592">
        <v>4</v>
      </c>
      <c r="F592" t="s">
        <v>538</v>
      </c>
      <c r="G592" t="s">
        <v>539</v>
      </c>
      <c r="H592" t="s">
        <v>539</v>
      </c>
      <c r="I592">
        <v>80310000</v>
      </c>
    </row>
    <row r="593" spans="1:9" x14ac:dyDescent="0.25">
      <c r="A593" t="s">
        <v>454</v>
      </c>
      <c r="B593" t="s">
        <v>541</v>
      </c>
      <c r="C593" t="s">
        <v>537</v>
      </c>
      <c r="D593">
        <v>20251231</v>
      </c>
      <c r="E593">
        <v>4</v>
      </c>
      <c r="F593" t="s">
        <v>538</v>
      </c>
      <c r="G593" t="s">
        <v>539</v>
      </c>
      <c r="H593" t="s">
        <v>539</v>
      </c>
      <c r="I593">
        <v>1570323000</v>
      </c>
    </row>
    <row r="594" spans="1:9" x14ac:dyDescent="0.25">
      <c r="A594" t="s">
        <v>454</v>
      </c>
      <c r="B594" t="s">
        <v>543</v>
      </c>
      <c r="C594" t="s">
        <v>537</v>
      </c>
      <c r="D594">
        <v>20251231</v>
      </c>
      <c r="E594">
        <v>4</v>
      </c>
      <c r="F594" t="s">
        <v>538</v>
      </c>
      <c r="G594" t="s">
        <v>539</v>
      </c>
      <c r="H594" t="s">
        <v>539</v>
      </c>
      <c r="I594">
        <v>542843000</v>
      </c>
    </row>
    <row r="595" spans="1:9" x14ac:dyDescent="0.25">
      <c r="A595" t="s">
        <v>444</v>
      </c>
      <c r="B595" t="s">
        <v>536</v>
      </c>
      <c r="C595" t="s">
        <v>537</v>
      </c>
      <c r="D595">
        <v>20251231</v>
      </c>
      <c r="E595">
        <v>0</v>
      </c>
      <c r="F595" t="s">
        <v>538</v>
      </c>
      <c r="G595" t="s">
        <v>539</v>
      </c>
      <c r="H595" t="s">
        <v>539</v>
      </c>
      <c r="I595">
        <v>16803534000</v>
      </c>
    </row>
    <row r="596" spans="1:9" x14ac:dyDescent="0.25">
      <c r="A596" t="s">
        <v>428</v>
      </c>
      <c r="B596" t="s">
        <v>541</v>
      </c>
      <c r="C596" t="s">
        <v>537</v>
      </c>
      <c r="D596">
        <v>20251231</v>
      </c>
      <c r="E596">
        <v>4</v>
      </c>
      <c r="F596" t="s">
        <v>538</v>
      </c>
      <c r="G596" t="s">
        <v>539</v>
      </c>
      <c r="H596" t="s">
        <v>539</v>
      </c>
      <c r="I596">
        <v>699275000</v>
      </c>
    </row>
    <row r="597" spans="1:9" x14ac:dyDescent="0.25">
      <c r="A597" t="s">
        <v>456</v>
      </c>
      <c r="B597" t="s">
        <v>540</v>
      </c>
      <c r="C597" t="s">
        <v>537</v>
      </c>
      <c r="D597">
        <v>20251231</v>
      </c>
      <c r="E597">
        <v>0</v>
      </c>
      <c r="F597" t="s">
        <v>538</v>
      </c>
      <c r="G597" t="s">
        <v>539</v>
      </c>
      <c r="H597" t="s">
        <v>539</v>
      </c>
      <c r="I597">
        <v>35472762000</v>
      </c>
    </row>
    <row r="598" spans="1:9" x14ac:dyDescent="0.25">
      <c r="A598" t="s">
        <v>456</v>
      </c>
      <c r="B598" t="s">
        <v>541</v>
      </c>
      <c r="C598" t="s">
        <v>537</v>
      </c>
      <c r="D598">
        <v>20251231</v>
      </c>
      <c r="E598">
        <v>4</v>
      </c>
      <c r="F598" t="s">
        <v>538</v>
      </c>
      <c r="G598" t="s">
        <v>539</v>
      </c>
      <c r="H598" t="s">
        <v>539</v>
      </c>
      <c r="I598">
        <v>1614620000</v>
      </c>
    </row>
    <row r="599" spans="1:9" x14ac:dyDescent="0.25">
      <c r="A599" t="s">
        <v>52</v>
      </c>
      <c r="B599" t="s">
        <v>536</v>
      </c>
      <c r="C599" t="s">
        <v>537</v>
      </c>
      <c r="D599">
        <v>20251231</v>
      </c>
      <c r="E599">
        <v>0</v>
      </c>
      <c r="F599" t="s">
        <v>538</v>
      </c>
      <c r="G599" t="s">
        <v>539</v>
      </c>
      <c r="H599" t="s">
        <v>539</v>
      </c>
      <c r="I599">
        <v>5939768000</v>
      </c>
    </row>
    <row r="600" spans="1:9" x14ac:dyDescent="0.25">
      <c r="A600" t="s">
        <v>56</v>
      </c>
      <c r="B600" t="s">
        <v>541</v>
      </c>
      <c r="C600" t="s">
        <v>546</v>
      </c>
      <c r="D600">
        <v>20251231</v>
      </c>
      <c r="E600">
        <v>4</v>
      </c>
      <c r="F600" t="s">
        <v>538</v>
      </c>
      <c r="G600" t="s">
        <v>539</v>
      </c>
      <c r="H600" t="s">
        <v>539</v>
      </c>
      <c r="I600">
        <v>466229000</v>
      </c>
    </row>
    <row r="601" spans="1:9" x14ac:dyDescent="0.25">
      <c r="A601" t="s">
        <v>58</v>
      </c>
      <c r="B601" t="s">
        <v>542</v>
      </c>
      <c r="C601" t="s">
        <v>537</v>
      </c>
      <c r="D601">
        <v>20251231</v>
      </c>
      <c r="E601">
        <v>4</v>
      </c>
      <c r="F601" t="s">
        <v>538</v>
      </c>
      <c r="G601" t="s">
        <v>539</v>
      </c>
      <c r="H601" t="s">
        <v>539</v>
      </c>
      <c r="I601">
        <v>6.23</v>
      </c>
    </row>
    <row r="602" spans="1:9" x14ac:dyDescent="0.25">
      <c r="A602" t="s">
        <v>462</v>
      </c>
      <c r="B602" t="s">
        <v>542</v>
      </c>
      <c r="C602" t="s">
        <v>537</v>
      </c>
      <c r="D602">
        <v>20251231</v>
      </c>
      <c r="E602">
        <v>4</v>
      </c>
      <c r="F602" t="s">
        <v>538</v>
      </c>
      <c r="G602" t="s">
        <v>539</v>
      </c>
      <c r="H602" t="s">
        <v>539</v>
      </c>
      <c r="I602">
        <v>2.5299999999999998</v>
      </c>
    </row>
    <row r="603" spans="1:9" x14ac:dyDescent="0.25">
      <c r="A603" t="s">
        <v>462</v>
      </c>
      <c r="B603" t="s">
        <v>536</v>
      </c>
      <c r="C603" t="s">
        <v>537</v>
      </c>
      <c r="D603">
        <v>20251231</v>
      </c>
      <c r="E603">
        <v>0</v>
      </c>
      <c r="F603" t="s">
        <v>538</v>
      </c>
      <c r="G603" t="s">
        <v>539</v>
      </c>
      <c r="H603" t="s">
        <v>539</v>
      </c>
      <c r="I603">
        <v>7072799000</v>
      </c>
    </row>
    <row r="604" spans="1:9" x14ac:dyDescent="0.25">
      <c r="A604" t="s">
        <v>466</v>
      </c>
      <c r="B604" t="s">
        <v>544</v>
      </c>
      <c r="C604" t="s">
        <v>537</v>
      </c>
      <c r="D604">
        <v>20251231</v>
      </c>
      <c r="E604">
        <v>0</v>
      </c>
      <c r="F604" t="s">
        <v>538</v>
      </c>
      <c r="G604" t="s">
        <v>539</v>
      </c>
      <c r="H604" t="s">
        <v>539</v>
      </c>
      <c r="I604">
        <v>1267906000</v>
      </c>
    </row>
    <row r="605" spans="1:9" x14ac:dyDescent="0.25">
      <c r="A605" t="s">
        <v>468</v>
      </c>
      <c r="B605" t="s">
        <v>544</v>
      </c>
      <c r="C605" t="s">
        <v>537</v>
      </c>
      <c r="D605">
        <v>20251231</v>
      </c>
      <c r="E605">
        <v>0</v>
      </c>
      <c r="F605" t="s">
        <v>538</v>
      </c>
      <c r="G605" t="s">
        <v>539</v>
      </c>
      <c r="H605" t="s">
        <v>539</v>
      </c>
      <c r="I605">
        <v>2295224000</v>
      </c>
    </row>
    <row r="606" spans="1:9" x14ac:dyDescent="0.25">
      <c r="A606" t="s">
        <v>470</v>
      </c>
      <c r="B606" t="s">
        <v>541</v>
      </c>
      <c r="C606" t="s">
        <v>537</v>
      </c>
      <c r="D606">
        <v>20251231</v>
      </c>
      <c r="E606">
        <v>4</v>
      </c>
      <c r="F606" t="s">
        <v>538</v>
      </c>
      <c r="G606" t="s">
        <v>539</v>
      </c>
      <c r="H606" t="s">
        <v>539</v>
      </c>
      <c r="I606">
        <v>1271940000</v>
      </c>
    </row>
    <row r="607" spans="1:9" x14ac:dyDescent="0.25">
      <c r="A607" t="s">
        <v>470</v>
      </c>
      <c r="B607" t="s">
        <v>543</v>
      </c>
      <c r="C607" t="s">
        <v>537</v>
      </c>
      <c r="D607">
        <v>20251231</v>
      </c>
      <c r="E607">
        <v>4</v>
      </c>
      <c r="F607" t="s">
        <v>538</v>
      </c>
      <c r="G607" t="s">
        <v>539</v>
      </c>
      <c r="H607" t="s">
        <v>539</v>
      </c>
      <c r="I607">
        <v>223105000</v>
      </c>
    </row>
    <row r="608" spans="1:9" x14ac:dyDescent="0.25">
      <c r="A608" t="s">
        <v>62</v>
      </c>
      <c r="B608" t="s">
        <v>536</v>
      </c>
      <c r="C608" t="s">
        <v>537</v>
      </c>
      <c r="D608">
        <v>20251231</v>
      </c>
      <c r="E608">
        <v>0</v>
      </c>
      <c r="F608" t="s">
        <v>538</v>
      </c>
      <c r="G608" t="s">
        <v>539</v>
      </c>
      <c r="H608" t="s">
        <v>539</v>
      </c>
      <c r="I608">
        <v>4151350000</v>
      </c>
    </row>
    <row r="609" spans="1:9" x14ac:dyDescent="0.25">
      <c r="A609" t="s">
        <v>64</v>
      </c>
      <c r="B609" t="s">
        <v>536</v>
      </c>
      <c r="C609" t="s">
        <v>537</v>
      </c>
      <c r="D609">
        <v>20251231</v>
      </c>
      <c r="E609">
        <v>0</v>
      </c>
      <c r="F609" t="s">
        <v>538</v>
      </c>
      <c r="G609" t="s">
        <v>539</v>
      </c>
      <c r="H609" t="s">
        <v>539</v>
      </c>
      <c r="I609">
        <v>2066912000</v>
      </c>
    </row>
    <row r="610" spans="1:9" x14ac:dyDescent="0.25">
      <c r="A610" t="s">
        <v>64</v>
      </c>
      <c r="B610" t="s">
        <v>543</v>
      </c>
      <c r="C610" t="s">
        <v>537</v>
      </c>
      <c r="D610">
        <v>20251231</v>
      </c>
      <c r="E610">
        <v>4</v>
      </c>
      <c r="F610" t="s">
        <v>538</v>
      </c>
      <c r="G610" t="s">
        <v>539</v>
      </c>
      <c r="H610" t="s">
        <v>539</v>
      </c>
      <c r="I610">
        <v>21233000</v>
      </c>
    </row>
    <row r="611" spans="1:9" x14ac:dyDescent="0.25">
      <c r="A611" t="s">
        <v>470</v>
      </c>
      <c r="B611" t="s">
        <v>544</v>
      </c>
      <c r="C611" t="s">
        <v>537</v>
      </c>
      <c r="D611">
        <v>20251231</v>
      </c>
      <c r="E611">
        <v>0</v>
      </c>
      <c r="F611" t="s">
        <v>538</v>
      </c>
      <c r="G611" t="s">
        <v>539</v>
      </c>
      <c r="H611" t="s">
        <v>539</v>
      </c>
      <c r="I611">
        <v>4031913000</v>
      </c>
    </row>
    <row r="612" spans="1:9" x14ac:dyDescent="0.25">
      <c r="A612" t="s">
        <v>456</v>
      </c>
      <c r="B612" t="s">
        <v>544</v>
      </c>
      <c r="C612" t="s">
        <v>537</v>
      </c>
      <c r="D612">
        <v>20251231</v>
      </c>
      <c r="E612">
        <v>0</v>
      </c>
      <c r="F612" t="s">
        <v>538</v>
      </c>
      <c r="G612" t="s">
        <v>539</v>
      </c>
      <c r="H612" t="s">
        <v>539</v>
      </c>
      <c r="I612">
        <v>4460117000</v>
      </c>
    </row>
    <row r="613" spans="1:9" x14ac:dyDescent="0.25">
      <c r="A613" t="s">
        <v>452</v>
      </c>
      <c r="B613" t="s">
        <v>544</v>
      </c>
      <c r="C613" t="s">
        <v>537</v>
      </c>
      <c r="D613">
        <v>20251231</v>
      </c>
      <c r="E613">
        <v>0</v>
      </c>
      <c r="F613" t="s">
        <v>538</v>
      </c>
      <c r="G613" t="s">
        <v>539</v>
      </c>
      <c r="H613" t="s">
        <v>539</v>
      </c>
      <c r="I613">
        <v>7693568000</v>
      </c>
    </row>
    <row r="614" spans="1:9" x14ac:dyDescent="0.25">
      <c r="A614" t="s">
        <v>444</v>
      </c>
      <c r="B614" t="s">
        <v>542</v>
      </c>
      <c r="C614" t="s">
        <v>537</v>
      </c>
      <c r="D614">
        <v>20251231</v>
      </c>
      <c r="E614">
        <v>4</v>
      </c>
      <c r="F614" t="s">
        <v>538</v>
      </c>
      <c r="G614" t="s">
        <v>539</v>
      </c>
      <c r="H614" t="s">
        <v>539</v>
      </c>
      <c r="I614">
        <v>3.72</v>
      </c>
    </row>
    <row r="615" spans="1:9" x14ac:dyDescent="0.25">
      <c r="A615" t="s">
        <v>458</v>
      </c>
      <c r="B615" t="s">
        <v>542</v>
      </c>
      <c r="C615" t="s">
        <v>537</v>
      </c>
      <c r="D615">
        <v>20251231</v>
      </c>
      <c r="E615">
        <v>4</v>
      </c>
      <c r="F615" t="s">
        <v>538</v>
      </c>
      <c r="G615" t="s">
        <v>539</v>
      </c>
      <c r="H615" t="s">
        <v>539</v>
      </c>
      <c r="I615">
        <v>3.84</v>
      </c>
    </row>
    <row r="616" spans="1:9" x14ac:dyDescent="0.25">
      <c r="A616" t="s">
        <v>106</v>
      </c>
      <c r="B616" t="s">
        <v>536</v>
      </c>
      <c r="C616" t="s">
        <v>546</v>
      </c>
      <c r="D616">
        <v>20251231</v>
      </c>
      <c r="E616">
        <v>0</v>
      </c>
      <c r="F616" t="s">
        <v>538</v>
      </c>
      <c r="G616" t="s">
        <v>539</v>
      </c>
      <c r="H616" t="s">
        <v>539</v>
      </c>
      <c r="I616">
        <v>69099188000</v>
      </c>
    </row>
    <row r="617" spans="1:9" x14ac:dyDescent="0.25">
      <c r="A617" t="s">
        <v>106</v>
      </c>
      <c r="B617" t="s">
        <v>543</v>
      </c>
      <c r="C617" t="s">
        <v>546</v>
      </c>
      <c r="D617">
        <v>20251231</v>
      </c>
      <c r="E617">
        <v>4</v>
      </c>
      <c r="F617" t="s">
        <v>538</v>
      </c>
      <c r="G617" t="s">
        <v>539</v>
      </c>
      <c r="H617" t="s">
        <v>539</v>
      </c>
      <c r="I617">
        <v>833159000</v>
      </c>
    </row>
    <row r="618" spans="1:9" x14ac:dyDescent="0.25">
      <c r="A618" t="s">
        <v>460</v>
      </c>
      <c r="B618" t="s">
        <v>536</v>
      </c>
      <c r="C618" t="s">
        <v>537</v>
      </c>
      <c r="D618">
        <v>20251231</v>
      </c>
      <c r="E618">
        <v>0</v>
      </c>
      <c r="F618" t="s">
        <v>538</v>
      </c>
      <c r="G618" t="s">
        <v>539</v>
      </c>
      <c r="H618" t="s">
        <v>539</v>
      </c>
      <c r="I618">
        <v>28164298000</v>
      </c>
    </row>
    <row r="619" spans="1:9" x14ac:dyDescent="0.25">
      <c r="A619" t="s">
        <v>74</v>
      </c>
      <c r="B619" t="s">
        <v>540</v>
      </c>
      <c r="C619" t="s">
        <v>537</v>
      </c>
      <c r="D619">
        <v>20251231</v>
      </c>
      <c r="E619">
        <v>0</v>
      </c>
      <c r="F619" t="s">
        <v>538</v>
      </c>
      <c r="G619" t="s">
        <v>539</v>
      </c>
      <c r="H619" t="s">
        <v>539</v>
      </c>
      <c r="I619">
        <v>5860810000</v>
      </c>
    </row>
    <row r="620" spans="1:9" x14ac:dyDescent="0.25">
      <c r="A620" t="s">
        <v>74</v>
      </c>
      <c r="B620" t="s">
        <v>545</v>
      </c>
      <c r="C620" t="s">
        <v>537</v>
      </c>
      <c r="D620">
        <v>20251231</v>
      </c>
      <c r="E620">
        <v>4</v>
      </c>
      <c r="F620" t="s">
        <v>538</v>
      </c>
      <c r="G620" t="s">
        <v>539</v>
      </c>
      <c r="H620" t="s">
        <v>539</v>
      </c>
      <c r="I620">
        <v>285972000</v>
      </c>
    </row>
    <row r="621" spans="1:9" x14ac:dyDescent="0.25">
      <c r="A621" t="s">
        <v>74</v>
      </c>
      <c r="B621" t="s">
        <v>536</v>
      </c>
      <c r="C621" t="s">
        <v>537</v>
      </c>
      <c r="D621">
        <v>20251231</v>
      </c>
      <c r="E621">
        <v>0</v>
      </c>
      <c r="F621" t="s">
        <v>538</v>
      </c>
      <c r="G621" t="s">
        <v>539</v>
      </c>
      <c r="H621" t="s">
        <v>539</v>
      </c>
      <c r="I621">
        <v>5308318000</v>
      </c>
    </row>
    <row r="622" spans="1:9" x14ac:dyDescent="0.25">
      <c r="A622" t="s">
        <v>300</v>
      </c>
      <c r="B622" t="s">
        <v>541</v>
      </c>
      <c r="C622" t="s">
        <v>537</v>
      </c>
      <c r="D622">
        <v>20251231</v>
      </c>
      <c r="E622">
        <v>4</v>
      </c>
      <c r="F622" t="s">
        <v>538</v>
      </c>
      <c r="G622" t="s">
        <v>539</v>
      </c>
      <c r="H622" t="s">
        <v>539</v>
      </c>
      <c r="I622">
        <v>7502000000</v>
      </c>
    </row>
    <row r="623" spans="1:9" x14ac:dyDescent="0.25">
      <c r="A623" t="s">
        <v>76</v>
      </c>
      <c r="B623" t="s">
        <v>541</v>
      </c>
      <c r="C623" t="s">
        <v>537</v>
      </c>
      <c r="D623">
        <v>20251231</v>
      </c>
      <c r="E623">
        <v>4</v>
      </c>
      <c r="F623" t="s">
        <v>538</v>
      </c>
      <c r="G623" t="s">
        <v>539</v>
      </c>
      <c r="H623" t="s">
        <v>539</v>
      </c>
      <c r="I623">
        <v>200442000</v>
      </c>
    </row>
    <row r="624" spans="1:9" x14ac:dyDescent="0.25">
      <c r="A624" t="s">
        <v>80</v>
      </c>
      <c r="B624" t="s">
        <v>540</v>
      </c>
      <c r="C624" t="s">
        <v>537</v>
      </c>
      <c r="D624">
        <v>20251231</v>
      </c>
      <c r="E624">
        <v>0</v>
      </c>
      <c r="F624" t="s">
        <v>538</v>
      </c>
      <c r="G624" t="s">
        <v>539</v>
      </c>
      <c r="H624" t="s">
        <v>539</v>
      </c>
      <c r="I624">
        <v>857445000</v>
      </c>
    </row>
    <row r="625" spans="1:9" x14ac:dyDescent="0.25">
      <c r="A625" t="s">
        <v>446</v>
      </c>
      <c r="B625" t="s">
        <v>540</v>
      </c>
      <c r="C625" t="s">
        <v>537</v>
      </c>
      <c r="D625">
        <v>20251231</v>
      </c>
      <c r="E625">
        <v>0</v>
      </c>
      <c r="F625" t="s">
        <v>538</v>
      </c>
      <c r="G625" t="s">
        <v>539</v>
      </c>
      <c r="H625" t="s">
        <v>539</v>
      </c>
      <c r="I625">
        <v>4081887000</v>
      </c>
    </row>
    <row r="626" spans="1:9" x14ac:dyDescent="0.25">
      <c r="A626" t="s">
        <v>446</v>
      </c>
      <c r="B626" t="s">
        <v>541</v>
      </c>
      <c r="C626" t="s">
        <v>537</v>
      </c>
      <c r="D626">
        <v>20251231</v>
      </c>
      <c r="E626">
        <v>4</v>
      </c>
      <c r="F626" t="s">
        <v>538</v>
      </c>
      <c r="G626" t="s">
        <v>539</v>
      </c>
      <c r="H626" t="s">
        <v>539</v>
      </c>
      <c r="I626">
        <v>247310000</v>
      </c>
    </row>
    <row r="627" spans="1:9" x14ac:dyDescent="0.25">
      <c r="A627" t="s">
        <v>448</v>
      </c>
      <c r="B627" t="s">
        <v>541</v>
      </c>
      <c r="C627" t="s">
        <v>537</v>
      </c>
      <c r="D627">
        <v>20251231</v>
      </c>
      <c r="E627">
        <v>4</v>
      </c>
      <c r="F627" t="s">
        <v>538</v>
      </c>
      <c r="G627" t="s">
        <v>539</v>
      </c>
      <c r="H627" t="s">
        <v>539</v>
      </c>
      <c r="I627">
        <v>702480000</v>
      </c>
    </row>
    <row r="628" spans="1:9" x14ac:dyDescent="0.25">
      <c r="A628" t="s">
        <v>448</v>
      </c>
      <c r="B628" t="s">
        <v>543</v>
      </c>
      <c r="C628" t="s">
        <v>537</v>
      </c>
      <c r="D628">
        <v>20251231</v>
      </c>
      <c r="E628">
        <v>4</v>
      </c>
      <c r="F628" t="s">
        <v>538</v>
      </c>
      <c r="G628" t="s">
        <v>539</v>
      </c>
      <c r="H628" t="s">
        <v>539</v>
      </c>
      <c r="I628">
        <v>253579000</v>
      </c>
    </row>
    <row r="629" spans="1:9" x14ac:dyDescent="0.25">
      <c r="A629" t="s">
        <v>448</v>
      </c>
      <c r="B629" t="s">
        <v>544</v>
      </c>
      <c r="C629" t="s">
        <v>537</v>
      </c>
      <c r="D629">
        <v>20251231</v>
      </c>
      <c r="E629">
        <v>0</v>
      </c>
      <c r="F629" t="s">
        <v>538</v>
      </c>
      <c r="G629" t="s">
        <v>539</v>
      </c>
      <c r="H629" t="s">
        <v>539</v>
      </c>
      <c r="I629">
        <v>1917317000</v>
      </c>
    </row>
    <row r="630" spans="1:9" x14ac:dyDescent="0.25">
      <c r="A630" t="s">
        <v>302</v>
      </c>
      <c r="B630" t="s">
        <v>544</v>
      </c>
      <c r="C630" t="s">
        <v>537</v>
      </c>
      <c r="D630">
        <v>20251231</v>
      </c>
      <c r="E630">
        <v>0</v>
      </c>
      <c r="F630" t="s">
        <v>538</v>
      </c>
      <c r="G630" t="s">
        <v>539</v>
      </c>
      <c r="H630" t="s">
        <v>539</v>
      </c>
      <c r="I630">
        <v>65189000000</v>
      </c>
    </row>
    <row r="631" spans="1:9" x14ac:dyDescent="0.25">
      <c r="A631" t="s">
        <v>450</v>
      </c>
      <c r="B631" t="s">
        <v>540</v>
      </c>
      <c r="C631" t="s">
        <v>537</v>
      </c>
      <c r="D631">
        <v>20251231</v>
      </c>
      <c r="E631">
        <v>0</v>
      </c>
      <c r="F631" t="s">
        <v>538</v>
      </c>
      <c r="G631" t="s">
        <v>539</v>
      </c>
      <c r="H631" t="s">
        <v>539</v>
      </c>
      <c r="I631">
        <v>14838893000</v>
      </c>
    </row>
    <row r="632" spans="1:9" x14ac:dyDescent="0.25">
      <c r="A632" t="s">
        <v>450</v>
      </c>
      <c r="B632" t="s">
        <v>544</v>
      </c>
      <c r="C632" t="s">
        <v>537</v>
      </c>
      <c r="D632">
        <v>20251231</v>
      </c>
      <c r="E632">
        <v>0</v>
      </c>
      <c r="F632" t="s">
        <v>538</v>
      </c>
      <c r="G632" t="s">
        <v>539</v>
      </c>
      <c r="H632" t="s">
        <v>539</v>
      </c>
      <c r="I632">
        <v>1854125000</v>
      </c>
    </row>
    <row r="633" spans="1:9" x14ac:dyDescent="0.25">
      <c r="A633" t="s">
        <v>458</v>
      </c>
      <c r="B633" t="s">
        <v>541</v>
      </c>
      <c r="C633" t="s">
        <v>537</v>
      </c>
      <c r="D633">
        <v>20251231</v>
      </c>
      <c r="E633">
        <v>4</v>
      </c>
      <c r="F633" t="s">
        <v>538</v>
      </c>
      <c r="G633" t="s">
        <v>539</v>
      </c>
      <c r="H633" t="s">
        <v>539</v>
      </c>
      <c r="I633">
        <v>372990000</v>
      </c>
    </row>
    <row r="634" spans="1:9" x14ac:dyDescent="0.25">
      <c r="A634" t="s">
        <v>460</v>
      </c>
      <c r="B634" t="s">
        <v>540</v>
      </c>
      <c r="C634" t="s">
        <v>537</v>
      </c>
      <c r="D634">
        <v>20251231</v>
      </c>
      <c r="E634">
        <v>0</v>
      </c>
      <c r="F634" t="s">
        <v>538</v>
      </c>
      <c r="G634" t="s">
        <v>539</v>
      </c>
      <c r="H634" t="s">
        <v>539</v>
      </c>
      <c r="I634">
        <v>33660281000</v>
      </c>
    </row>
    <row r="635" spans="1:9" x14ac:dyDescent="0.25">
      <c r="A635" t="s">
        <v>462</v>
      </c>
      <c r="B635" t="s">
        <v>543</v>
      </c>
      <c r="C635" t="s">
        <v>537</v>
      </c>
      <c r="D635">
        <v>20251231</v>
      </c>
      <c r="E635">
        <v>4</v>
      </c>
      <c r="F635" t="s">
        <v>538</v>
      </c>
      <c r="G635" t="s">
        <v>539</v>
      </c>
      <c r="H635" t="s">
        <v>539</v>
      </c>
      <c r="I635">
        <v>76089000</v>
      </c>
    </row>
    <row r="636" spans="1:9" x14ac:dyDescent="0.25">
      <c r="A636" t="s">
        <v>86</v>
      </c>
      <c r="B636" t="s">
        <v>541</v>
      </c>
      <c r="C636" t="s">
        <v>537</v>
      </c>
      <c r="D636">
        <v>20251231</v>
      </c>
      <c r="E636">
        <v>4</v>
      </c>
      <c r="F636" t="s">
        <v>538</v>
      </c>
      <c r="G636" t="s">
        <v>539</v>
      </c>
      <c r="H636" t="s">
        <v>539</v>
      </c>
      <c r="I636">
        <v>14627000</v>
      </c>
    </row>
    <row r="637" spans="1:9" x14ac:dyDescent="0.25">
      <c r="A637" t="s">
        <v>466</v>
      </c>
      <c r="B637" t="s">
        <v>540</v>
      </c>
      <c r="C637" t="s">
        <v>537</v>
      </c>
      <c r="D637">
        <v>20251231</v>
      </c>
      <c r="E637">
        <v>0</v>
      </c>
      <c r="F637" t="s">
        <v>538</v>
      </c>
      <c r="G637" t="s">
        <v>539</v>
      </c>
      <c r="H637" t="s">
        <v>539</v>
      </c>
      <c r="I637">
        <v>9652676000</v>
      </c>
    </row>
    <row r="638" spans="1:9" x14ac:dyDescent="0.25">
      <c r="A638" t="s">
        <v>466</v>
      </c>
      <c r="B638" t="s">
        <v>542</v>
      </c>
      <c r="C638" t="s">
        <v>537</v>
      </c>
      <c r="D638">
        <v>20251231</v>
      </c>
      <c r="E638">
        <v>4</v>
      </c>
      <c r="F638" t="s">
        <v>538</v>
      </c>
      <c r="G638" t="s">
        <v>539</v>
      </c>
      <c r="H638" t="s">
        <v>539</v>
      </c>
      <c r="I638">
        <v>2.9</v>
      </c>
    </row>
    <row r="639" spans="1:9" x14ac:dyDescent="0.25">
      <c r="A639" t="s">
        <v>454</v>
      </c>
      <c r="B639" t="s">
        <v>540</v>
      </c>
      <c r="C639" t="s">
        <v>537</v>
      </c>
      <c r="D639">
        <v>20251231</v>
      </c>
      <c r="E639">
        <v>0</v>
      </c>
      <c r="F639" t="s">
        <v>538</v>
      </c>
      <c r="G639" t="s">
        <v>539</v>
      </c>
      <c r="H639" t="s">
        <v>539</v>
      </c>
      <c r="I639">
        <v>38463425000</v>
      </c>
    </row>
    <row r="640" spans="1:9" x14ac:dyDescent="0.25">
      <c r="A640" t="s">
        <v>466</v>
      </c>
      <c r="B640" t="s">
        <v>543</v>
      </c>
      <c r="C640" t="s">
        <v>537</v>
      </c>
      <c r="D640">
        <v>20251231</v>
      </c>
      <c r="E640">
        <v>4</v>
      </c>
      <c r="F640" t="s">
        <v>538</v>
      </c>
      <c r="G640" t="s">
        <v>539</v>
      </c>
      <c r="H640" t="s">
        <v>539</v>
      </c>
      <c r="I640">
        <v>130051000</v>
      </c>
    </row>
    <row r="641" spans="1:9" x14ac:dyDescent="0.25">
      <c r="A641" t="s">
        <v>468</v>
      </c>
      <c r="B641" t="s">
        <v>541</v>
      </c>
      <c r="C641" t="s">
        <v>537</v>
      </c>
      <c r="D641">
        <v>20251231</v>
      </c>
      <c r="E641">
        <v>4</v>
      </c>
      <c r="F641" t="s">
        <v>538</v>
      </c>
      <c r="G641" t="s">
        <v>539</v>
      </c>
      <c r="H641" t="s">
        <v>539</v>
      </c>
      <c r="I641">
        <v>593301000</v>
      </c>
    </row>
    <row r="642" spans="1:9" x14ac:dyDescent="0.25">
      <c r="A642" t="s">
        <v>108</v>
      </c>
      <c r="B642" t="s">
        <v>541</v>
      </c>
      <c r="C642" t="s">
        <v>537</v>
      </c>
      <c r="D642">
        <v>20251231</v>
      </c>
      <c r="E642">
        <v>4</v>
      </c>
      <c r="F642" t="s">
        <v>538</v>
      </c>
      <c r="G642" t="s">
        <v>539</v>
      </c>
      <c r="H642" t="s">
        <v>539</v>
      </c>
      <c r="I642">
        <v>57820000</v>
      </c>
    </row>
    <row r="643" spans="1:9" x14ac:dyDescent="0.25">
      <c r="A643" t="s">
        <v>470</v>
      </c>
      <c r="B643" t="s">
        <v>542</v>
      </c>
      <c r="C643" t="s">
        <v>537</v>
      </c>
      <c r="D643">
        <v>20251231</v>
      </c>
      <c r="E643">
        <v>4</v>
      </c>
      <c r="F643" t="s">
        <v>538</v>
      </c>
      <c r="G643" t="s">
        <v>539</v>
      </c>
      <c r="H643" t="s">
        <v>539</v>
      </c>
      <c r="I643">
        <v>2.23</v>
      </c>
    </row>
    <row r="644" spans="1:9" x14ac:dyDescent="0.25">
      <c r="A644" t="s">
        <v>456</v>
      </c>
      <c r="B644" t="s">
        <v>536</v>
      </c>
      <c r="C644" t="s">
        <v>537</v>
      </c>
      <c r="D644">
        <v>20251231</v>
      </c>
      <c r="E644">
        <v>0</v>
      </c>
      <c r="F644" t="s">
        <v>538</v>
      </c>
      <c r="G644" t="s">
        <v>539</v>
      </c>
      <c r="H644" t="s">
        <v>539</v>
      </c>
      <c r="I644">
        <v>31012645000</v>
      </c>
    </row>
    <row r="645" spans="1:9" x14ac:dyDescent="0.25">
      <c r="A645" t="s">
        <v>458</v>
      </c>
      <c r="B645" t="s">
        <v>536</v>
      </c>
      <c r="C645" t="s">
        <v>537</v>
      </c>
      <c r="D645">
        <v>20251231</v>
      </c>
      <c r="E645">
        <v>0</v>
      </c>
      <c r="F645" t="s">
        <v>538</v>
      </c>
      <c r="G645" t="s">
        <v>539</v>
      </c>
      <c r="H645" t="s">
        <v>539</v>
      </c>
      <c r="I645">
        <v>7007966000</v>
      </c>
    </row>
    <row r="646" spans="1:9" x14ac:dyDescent="0.25">
      <c r="A646" t="s">
        <v>458</v>
      </c>
      <c r="B646" t="s">
        <v>543</v>
      </c>
      <c r="C646" t="s">
        <v>537</v>
      </c>
      <c r="D646">
        <v>20251231</v>
      </c>
      <c r="E646">
        <v>4</v>
      </c>
      <c r="F646" t="s">
        <v>538</v>
      </c>
      <c r="G646" t="s">
        <v>539</v>
      </c>
      <c r="H646" t="s">
        <v>539</v>
      </c>
      <c r="I646">
        <v>91749000</v>
      </c>
    </row>
    <row r="647" spans="1:9" x14ac:dyDescent="0.25">
      <c r="A647" t="s">
        <v>304</v>
      </c>
      <c r="B647" t="s">
        <v>544</v>
      </c>
      <c r="C647" t="s">
        <v>537</v>
      </c>
      <c r="D647">
        <v>20251231</v>
      </c>
      <c r="E647">
        <v>0</v>
      </c>
      <c r="F647" t="s">
        <v>538</v>
      </c>
      <c r="G647" t="s">
        <v>539</v>
      </c>
      <c r="H647" t="s">
        <v>539</v>
      </c>
      <c r="I647">
        <v>27841000000</v>
      </c>
    </row>
    <row r="648" spans="1:9" x14ac:dyDescent="0.25">
      <c r="A648" t="s">
        <v>110</v>
      </c>
      <c r="B648" t="s">
        <v>543</v>
      </c>
      <c r="C648" t="s">
        <v>537</v>
      </c>
      <c r="D648">
        <v>20251231</v>
      </c>
      <c r="E648">
        <v>4</v>
      </c>
      <c r="F648" t="s">
        <v>538</v>
      </c>
      <c r="G648" t="s">
        <v>539</v>
      </c>
      <c r="H648" t="s">
        <v>539</v>
      </c>
      <c r="I648">
        <v>22726000</v>
      </c>
    </row>
    <row r="649" spans="1:9" x14ac:dyDescent="0.25">
      <c r="A649" t="s">
        <v>458</v>
      </c>
      <c r="B649" t="s">
        <v>540</v>
      </c>
      <c r="C649" t="s">
        <v>537</v>
      </c>
      <c r="D649">
        <v>20251231</v>
      </c>
      <c r="E649">
        <v>0</v>
      </c>
      <c r="F649" t="s">
        <v>538</v>
      </c>
      <c r="G649" t="s">
        <v>539</v>
      </c>
      <c r="H649" t="s">
        <v>539</v>
      </c>
      <c r="I649">
        <v>7966658000</v>
      </c>
    </row>
    <row r="650" spans="1:9" x14ac:dyDescent="0.25">
      <c r="A650" t="s">
        <v>462</v>
      </c>
      <c r="B650" t="s">
        <v>540</v>
      </c>
      <c r="C650" t="s">
        <v>537</v>
      </c>
      <c r="D650">
        <v>20251231</v>
      </c>
      <c r="E650">
        <v>0</v>
      </c>
      <c r="F650" t="s">
        <v>538</v>
      </c>
      <c r="G650" t="s">
        <v>539</v>
      </c>
      <c r="H650" t="s">
        <v>539</v>
      </c>
      <c r="I650">
        <v>7869185000</v>
      </c>
    </row>
    <row r="651" spans="1:9" x14ac:dyDescent="0.25">
      <c r="A651" t="s">
        <v>116</v>
      </c>
      <c r="B651" t="s">
        <v>543</v>
      </c>
      <c r="C651" t="s">
        <v>537</v>
      </c>
      <c r="D651">
        <v>20251231</v>
      </c>
      <c r="E651">
        <v>4</v>
      </c>
      <c r="F651" t="s">
        <v>538</v>
      </c>
      <c r="G651" t="s">
        <v>539</v>
      </c>
      <c r="H651" t="s">
        <v>539</v>
      </c>
      <c r="I651">
        <v>74867000</v>
      </c>
    </row>
    <row r="652" spans="1:9" x14ac:dyDescent="0.25">
      <c r="A652" t="s">
        <v>118</v>
      </c>
      <c r="B652" t="s">
        <v>542</v>
      </c>
      <c r="C652" t="s">
        <v>537</v>
      </c>
      <c r="D652">
        <v>20251231</v>
      </c>
      <c r="E652">
        <v>4</v>
      </c>
      <c r="F652" t="s">
        <v>538</v>
      </c>
      <c r="G652" t="s">
        <v>539</v>
      </c>
      <c r="H652" t="s">
        <v>539</v>
      </c>
      <c r="I652">
        <v>5.43</v>
      </c>
    </row>
    <row r="653" spans="1:9" x14ac:dyDescent="0.25">
      <c r="A653" t="s">
        <v>118</v>
      </c>
      <c r="B653" t="s">
        <v>536</v>
      </c>
      <c r="C653" t="s">
        <v>537</v>
      </c>
      <c r="D653">
        <v>20251231</v>
      </c>
      <c r="E653">
        <v>0</v>
      </c>
      <c r="F653" t="s">
        <v>538</v>
      </c>
      <c r="G653" t="s">
        <v>539</v>
      </c>
      <c r="H653" t="s">
        <v>539</v>
      </c>
      <c r="I653">
        <v>3487525000</v>
      </c>
    </row>
    <row r="654" spans="1:9" x14ac:dyDescent="0.25">
      <c r="A654" t="s">
        <v>118</v>
      </c>
      <c r="B654" t="s">
        <v>544</v>
      </c>
      <c r="C654" t="s">
        <v>537</v>
      </c>
      <c r="D654">
        <v>20251231</v>
      </c>
      <c r="E654">
        <v>0</v>
      </c>
      <c r="F654" t="s">
        <v>538</v>
      </c>
      <c r="G654" t="s">
        <v>539</v>
      </c>
      <c r="H654" t="s">
        <v>539</v>
      </c>
      <c r="I654">
        <v>293627000</v>
      </c>
    </row>
    <row r="655" spans="1:9" x14ac:dyDescent="0.25">
      <c r="A655" t="s">
        <v>464</v>
      </c>
      <c r="B655" t="s">
        <v>540</v>
      </c>
      <c r="C655" t="s">
        <v>537</v>
      </c>
      <c r="D655">
        <v>20251231</v>
      </c>
      <c r="E655">
        <v>0</v>
      </c>
      <c r="F655" t="s">
        <v>538</v>
      </c>
      <c r="G655" t="s">
        <v>539</v>
      </c>
      <c r="H655" t="s">
        <v>539</v>
      </c>
      <c r="I655">
        <v>5878956000</v>
      </c>
    </row>
    <row r="656" spans="1:9" x14ac:dyDescent="0.25">
      <c r="A656" t="s">
        <v>120</v>
      </c>
      <c r="B656" t="s">
        <v>542</v>
      </c>
      <c r="C656" t="s">
        <v>537</v>
      </c>
      <c r="D656">
        <v>20251231</v>
      </c>
      <c r="E656">
        <v>4</v>
      </c>
      <c r="F656" t="s">
        <v>538</v>
      </c>
      <c r="G656" t="s">
        <v>539</v>
      </c>
      <c r="H656" t="s">
        <v>539</v>
      </c>
      <c r="I656">
        <v>1.03</v>
      </c>
    </row>
    <row r="657" spans="1:9" x14ac:dyDescent="0.25">
      <c r="A657" t="s">
        <v>464</v>
      </c>
      <c r="B657" t="s">
        <v>541</v>
      </c>
      <c r="C657" t="s">
        <v>537</v>
      </c>
      <c r="D657">
        <v>20251231</v>
      </c>
      <c r="E657">
        <v>4</v>
      </c>
      <c r="F657" t="s">
        <v>538</v>
      </c>
      <c r="G657" t="s">
        <v>539</v>
      </c>
      <c r="H657" t="s">
        <v>539</v>
      </c>
      <c r="I657">
        <v>326187000</v>
      </c>
    </row>
    <row r="658" spans="1:9" x14ac:dyDescent="0.25">
      <c r="A658" t="s">
        <v>464</v>
      </c>
      <c r="B658" t="s">
        <v>536</v>
      </c>
      <c r="C658" t="s">
        <v>537</v>
      </c>
      <c r="D658">
        <v>20251231</v>
      </c>
      <c r="E658">
        <v>0</v>
      </c>
      <c r="F658" t="s">
        <v>538</v>
      </c>
      <c r="G658" t="s">
        <v>539</v>
      </c>
      <c r="H658" t="s">
        <v>539</v>
      </c>
      <c r="I658">
        <v>5297271000</v>
      </c>
    </row>
    <row r="659" spans="1:9" x14ac:dyDescent="0.25">
      <c r="A659" t="s">
        <v>466</v>
      </c>
      <c r="B659" t="s">
        <v>541</v>
      </c>
      <c r="C659" t="s">
        <v>537</v>
      </c>
      <c r="D659">
        <v>20251231</v>
      </c>
      <c r="E659">
        <v>4</v>
      </c>
      <c r="F659" t="s">
        <v>538</v>
      </c>
      <c r="G659" t="s">
        <v>539</v>
      </c>
      <c r="H659" t="s">
        <v>539</v>
      </c>
      <c r="I659">
        <v>572220000</v>
      </c>
    </row>
    <row r="660" spans="1:9" x14ac:dyDescent="0.25">
      <c r="A660" t="s">
        <v>466</v>
      </c>
      <c r="B660" t="s">
        <v>536</v>
      </c>
      <c r="C660" t="s">
        <v>537</v>
      </c>
      <c r="D660">
        <v>20251231</v>
      </c>
      <c r="E660">
        <v>0</v>
      </c>
      <c r="F660" t="s">
        <v>538</v>
      </c>
      <c r="G660" t="s">
        <v>539</v>
      </c>
      <c r="H660" t="s">
        <v>539</v>
      </c>
      <c r="I660">
        <v>8384770000</v>
      </c>
    </row>
    <row r="661" spans="1:9" x14ac:dyDescent="0.25">
      <c r="A661" t="s">
        <v>468</v>
      </c>
      <c r="B661" t="s">
        <v>540</v>
      </c>
      <c r="C661" t="s">
        <v>537</v>
      </c>
      <c r="D661">
        <v>20251231</v>
      </c>
      <c r="E661">
        <v>0</v>
      </c>
      <c r="F661" t="s">
        <v>538</v>
      </c>
      <c r="G661" t="s">
        <v>539</v>
      </c>
      <c r="H661" t="s">
        <v>539</v>
      </c>
      <c r="I661">
        <v>15631054000</v>
      </c>
    </row>
    <row r="662" spans="1:9" x14ac:dyDescent="0.25">
      <c r="A662" t="s">
        <v>124</v>
      </c>
      <c r="B662" t="s">
        <v>540</v>
      </c>
      <c r="C662" t="s">
        <v>537</v>
      </c>
      <c r="D662">
        <v>20251231</v>
      </c>
      <c r="E662">
        <v>0</v>
      </c>
      <c r="F662" t="s">
        <v>538</v>
      </c>
      <c r="G662" t="s">
        <v>539</v>
      </c>
      <c r="H662" t="s">
        <v>539</v>
      </c>
      <c r="I662">
        <v>2306586000</v>
      </c>
    </row>
    <row r="663" spans="1:9" x14ac:dyDescent="0.25">
      <c r="A663" t="s">
        <v>470</v>
      </c>
      <c r="B663" t="s">
        <v>536</v>
      </c>
      <c r="C663" t="s">
        <v>537</v>
      </c>
      <c r="D663">
        <v>20251231</v>
      </c>
      <c r="E663">
        <v>0</v>
      </c>
      <c r="F663" t="s">
        <v>538</v>
      </c>
      <c r="G663" t="s">
        <v>539</v>
      </c>
      <c r="H663" t="s">
        <v>539</v>
      </c>
      <c r="I663">
        <v>23664420000</v>
      </c>
    </row>
    <row r="664" spans="1:9" x14ac:dyDescent="0.25">
      <c r="A664" t="s">
        <v>130</v>
      </c>
      <c r="B664" t="s">
        <v>536</v>
      </c>
      <c r="C664" t="s">
        <v>537</v>
      </c>
      <c r="D664">
        <v>20251231</v>
      </c>
      <c r="E664">
        <v>0</v>
      </c>
      <c r="F664" t="s">
        <v>538</v>
      </c>
      <c r="G664" t="s">
        <v>539</v>
      </c>
      <c r="H664" t="s">
        <v>539</v>
      </c>
      <c r="I664">
        <v>3945198000</v>
      </c>
    </row>
    <row r="665" spans="1:9" x14ac:dyDescent="0.25">
      <c r="A665" t="s">
        <v>134</v>
      </c>
      <c r="B665" t="s">
        <v>543</v>
      </c>
      <c r="C665" t="s">
        <v>537</v>
      </c>
      <c r="D665">
        <v>20251231</v>
      </c>
      <c r="E665">
        <v>4</v>
      </c>
      <c r="F665" t="s">
        <v>538</v>
      </c>
      <c r="G665" t="s">
        <v>539</v>
      </c>
      <c r="H665" t="s">
        <v>539</v>
      </c>
      <c r="I665">
        <v>14090000</v>
      </c>
    </row>
    <row r="666" spans="1:9" x14ac:dyDescent="0.25">
      <c r="A666" t="s">
        <v>136</v>
      </c>
      <c r="B666" t="s">
        <v>536</v>
      </c>
      <c r="C666" t="s">
        <v>537</v>
      </c>
      <c r="D666">
        <v>20251231</v>
      </c>
      <c r="E666">
        <v>0</v>
      </c>
      <c r="F666" t="s">
        <v>538</v>
      </c>
      <c r="G666" t="s">
        <v>539</v>
      </c>
      <c r="H666" t="s">
        <v>539</v>
      </c>
      <c r="I666">
        <v>1166456000</v>
      </c>
    </row>
    <row r="667" spans="1:9" x14ac:dyDescent="0.25">
      <c r="A667" t="s">
        <v>106</v>
      </c>
      <c r="B667" t="s">
        <v>540</v>
      </c>
      <c r="C667" t="s">
        <v>546</v>
      </c>
      <c r="D667">
        <v>20251231</v>
      </c>
      <c r="E667">
        <v>0</v>
      </c>
      <c r="F667" t="s">
        <v>538</v>
      </c>
      <c r="G667" t="s">
        <v>539</v>
      </c>
      <c r="H667" t="s">
        <v>539</v>
      </c>
      <c r="I667">
        <v>75348267000</v>
      </c>
    </row>
    <row r="668" spans="1:9" x14ac:dyDescent="0.25">
      <c r="A668" t="s">
        <v>432</v>
      </c>
      <c r="B668" t="s">
        <v>544</v>
      </c>
      <c r="C668" t="s">
        <v>537</v>
      </c>
      <c r="D668">
        <v>20251231</v>
      </c>
      <c r="E668">
        <v>0</v>
      </c>
      <c r="F668" t="s">
        <v>538</v>
      </c>
      <c r="G668" t="s">
        <v>539</v>
      </c>
      <c r="H668" t="s">
        <v>539</v>
      </c>
      <c r="I668">
        <v>856072000</v>
      </c>
    </row>
    <row r="669" spans="1:9" x14ac:dyDescent="0.25">
      <c r="A669" t="s">
        <v>434</v>
      </c>
      <c r="B669" t="s">
        <v>544</v>
      </c>
      <c r="C669" t="s">
        <v>537</v>
      </c>
      <c r="D669">
        <v>20251231</v>
      </c>
      <c r="E669">
        <v>0</v>
      </c>
      <c r="F669" t="s">
        <v>538</v>
      </c>
      <c r="G669" t="s">
        <v>539</v>
      </c>
      <c r="H669" t="s">
        <v>539</v>
      </c>
      <c r="I669">
        <v>1896216000</v>
      </c>
    </row>
    <row r="670" spans="1:9" x14ac:dyDescent="0.25">
      <c r="A670" t="s">
        <v>90</v>
      </c>
      <c r="B670" t="s">
        <v>542</v>
      </c>
      <c r="C670" t="s">
        <v>537</v>
      </c>
      <c r="D670">
        <v>20251231</v>
      </c>
      <c r="E670">
        <v>4</v>
      </c>
      <c r="F670" t="s">
        <v>538</v>
      </c>
      <c r="G670" t="s">
        <v>539</v>
      </c>
      <c r="H670" t="s">
        <v>539</v>
      </c>
      <c r="I670">
        <v>3.59</v>
      </c>
    </row>
    <row r="671" spans="1:9" x14ac:dyDescent="0.25">
      <c r="A671" t="s">
        <v>92</v>
      </c>
      <c r="B671" t="s">
        <v>542</v>
      </c>
      <c r="C671" t="s">
        <v>537</v>
      </c>
      <c r="D671">
        <v>20251231</v>
      </c>
      <c r="E671">
        <v>4</v>
      </c>
      <c r="F671" t="s">
        <v>538</v>
      </c>
      <c r="G671" t="s">
        <v>539</v>
      </c>
      <c r="H671" t="s">
        <v>539</v>
      </c>
      <c r="I671">
        <v>7.62</v>
      </c>
    </row>
    <row r="672" spans="1:9" x14ac:dyDescent="0.25">
      <c r="A672" t="s">
        <v>94</v>
      </c>
      <c r="B672" t="s">
        <v>541</v>
      </c>
      <c r="C672" t="s">
        <v>537</v>
      </c>
      <c r="D672">
        <v>20251231</v>
      </c>
      <c r="E672">
        <v>4</v>
      </c>
      <c r="F672" t="s">
        <v>538</v>
      </c>
      <c r="G672" t="s">
        <v>539</v>
      </c>
      <c r="H672" t="s">
        <v>539</v>
      </c>
      <c r="I672">
        <v>85237000</v>
      </c>
    </row>
    <row r="673" spans="1:9" x14ac:dyDescent="0.25">
      <c r="A673" t="s">
        <v>96</v>
      </c>
      <c r="B673" t="s">
        <v>544</v>
      </c>
      <c r="C673" t="s">
        <v>537</v>
      </c>
      <c r="D673">
        <v>20251231</v>
      </c>
      <c r="E673">
        <v>0</v>
      </c>
      <c r="F673" t="s">
        <v>538</v>
      </c>
      <c r="G673" t="s">
        <v>539</v>
      </c>
      <c r="H673" t="s">
        <v>539</v>
      </c>
      <c r="I673">
        <v>645514000</v>
      </c>
    </row>
    <row r="674" spans="1:9" x14ac:dyDescent="0.25">
      <c r="A674" t="s">
        <v>100</v>
      </c>
      <c r="B674" t="s">
        <v>540</v>
      </c>
      <c r="C674" t="s">
        <v>537</v>
      </c>
      <c r="D674">
        <v>20251231</v>
      </c>
      <c r="E674">
        <v>0</v>
      </c>
      <c r="F674" t="s">
        <v>538</v>
      </c>
      <c r="G674" t="s">
        <v>539</v>
      </c>
      <c r="H674" t="s">
        <v>539</v>
      </c>
      <c r="I674">
        <v>1963640000</v>
      </c>
    </row>
    <row r="675" spans="1:9" x14ac:dyDescent="0.25">
      <c r="A675" t="s">
        <v>100</v>
      </c>
      <c r="B675" t="s">
        <v>542</v>
      </c>
      <c r="C675" t="s">
        <v>537</v>
      </c>
      <c r="D675">
        <v>20251231</v>
      </c>
      <c r="E675">
        <v>4</v>
      </c>
      <c r="F675" t="s">
        <v>538</v>
      </c>
      <c r="G675" t="s">
        <v>539</v>
      </c>
      <c r="H675" t="s">
        <v>539</v>
      </c>
      <c r="I675">
        <v>4.5599999999999996</v>
      </c>
    </row>
    <row r="676" spans="1:9" x14ac:dyDescent="0.25">
      <c r="A676" t="s">
        <v>116</v>
      </c>
      <c r="B676" t="s">
        <v>540</v>
      </c>
      <c r="C676" t="s">
        <v>537</v>
      </c>
      <c r="D676">
        <v>20251231</v>
      </c>
      <c r="E676">
        <v>0</v>
      </c>
      <c r="F676" t="s">
        <v>538</v>
      </c>
      <c r="G676" t="s">
        <v>539</v>
      </c>
      <c r="H676" t="s">
        <v>539</v>
      </c>
      <c r="I676">
        <v>6274140000</v>
      </c>
    </row>
    <row r="677" spans="1:9" x14ac:dyDescent="0.25">
      <c r="A677" t="s">
        <v>436</v>
      </c>
      <c r="B677" t="s">
        <v>544</v>
      </c>
      <c r="C677" t="s">
        <v>537</v>
      </c>
      <c r="D677">
        <v>20251231</v>
      </c>
      <c r="E677">
        <v>0</v>
      </c>
      <c r="F677" t="s">
        <v>538</v>
      </c>
      <c r="G677" t="s">
        <v>539</v>
      </c>
      <c r="H677" t="s">
        <v>539</v>
      </c>
      <c r="I677">
        <v>265985000</v>
      </c>
    </row>
    <row r="678" spans="1:9" x14ac:dyDescent="0.25">
      <c r="A678" t="s">
        <v>440</v>
      </c>
      <c r="B678" t="s">
        <v>542</v>
      </c>
      <c r="C678" t="s">
        <v>537</v>
      </c>
      <c r="D678">
        <v>20251231</v>
      </c>
      <c r="E678">
        <v>4</v>
      </c>
      <c r="F678" t="s">
        <v>538</v>
      </c>
      <c r="G678" t="s">
        <v>539</v>
      </c>
      <c r="H678" t="s">
        <v>539</v>
      </c>
      <c r="I678">
        <v>4.5199999999999996</v>
      </c>
    </row>
    <row r="679" spans="1:9" x14ac:dyDescent="0.25">
      <c r="A679" t="s">
        <v>120</v>
      </c>
      <c r="B679" t="s">
        <v>541</v>
      </c>
      <c r="C679" t="s">
        <v>537</v>
      </c>
      <c r="D679">
        <v>20251231</v>
      </c>
      <c r="E679">
        <v>4</v>
      </c>
      <c r="F679" t="s">
        <v>538</v>
      </c>
      <c r="G679" t="s">
        <v>539</v>
      </c>
      <c r="H679" t="s">
        <v>539</v>
      </c>
      <c r="I679">
        <v>59415000</v>
      </c>
    </row>
    <row r="680" spans="1:9" x14ac:dyDescent="0.25">
      <c r="A680" t="s">
        <v>122</v>
      </c>
      <c r="B680" t="s">
        <v>540</v>
      </c>
      <c r="C680" t="s">
        <v>537</v>
      </c>
      <c r="D680">
        <v>20251231</v>
      </c>
      <c r="E680">
        <v>0</v>
      </c>
      <c r="F680" t="s">
        <v>538</v>
      </c>
      <c r="G680" t="s">
        <v>539</v>
      </c>
      <c r="H680" t="s">
        <v>539</v>
      </c>
      <c r="I680">
        <v>2117321000</v>
      </c>
    </row>
    <row r="681" spans="1:9" x14ac:dyDescent="0.25">
      <c r="A681" t="s">
        <v>124</v>
      </c>
      <c r="B681" t="s">
        <v>542</v>
      </c>
      <c r="C681" t="s">
        <v>537</v>
      </c>
      <c r="D681">
        <v>20251231</v>
      </c>
      <c r="E681">
        <v>4</v>
      </c>
      <c r="F681" t="s">
        <v>538</v>
      </c>
      <c r="G681" t="s">
        <v>539</v>
      </c>
      <c r="H681" t="s">
        <v>539</v>
      </c>
      <c r="I681">
        <v>2.2400000000000002</v>
      </c>
    </row>
    <row r="682" spans="1:9" x14ac:dyDescent="0.25">
      <c r="A682" t="s">
        <v>102</v>
      </c>
      <c r="B682" t="s">
        <v>540</v>
      </c>
      <c r="C682" t="s">
        <v>537</v>
      </c>
      <c r="D682">
        <v>20251231</v>
      </c>
      <c r="E682">
        <v>0</v>
      </c>
      <c r="F682" t="s">
        <v>538</v>
      </c>
      <c r="G682" t="s">
        <v>539</v>
      </c>
      <c r="H682" t="s">
        <v>539</v>
      </c>
      <c r="I682">
        <v>1673199000</v>
      </c>
    </row>
    <row r="683" spans="1:9" x14ac:dyDescent="0.25">
      <c r="A683" t="s">
        <v>102</v>
      </c>
      <c r="B683" t="s">
        <v>544</v>
      </c>
      <c r="C683" t="s">
        <v>537</v>
      </c>
      <c r="D683">
        <v>20251231</v>
      </c>
      <c r="E683">
        <v>0</v>
      </c>
      <c r="F683" t="s">
        <v>538</v>
      </c>
      <c r="G683" t="s">
        <v>539</v>
      </c>
      <c r="H683" t="s">
        <v>539</v>
      </c>
      <c r="I683">
        <v>192541000</v>
      </c>
    </row>
    <row r="684" spans="1:9" x14ac:dyDescent="0.25">
      <c r="A684" t="s">
        <v>126</v>
      </c>
      <c r="B684" t="s">
        <v>543</v>
      </c>
      <c r="C684" t="s">
        <v>537</v>
      </c>
      <c r="D684">
        <v>20251231</v>
      </c>
      <c r="E684">
        <v>4</v>
      </c>
      <c r="F684" t="s">
        <v>538</v>
      </c>
      <c r="G684" t="s">
        <v>539</v>
      </c>
      <c r="H684" t="s">
        <v>539</v>
      </c>
      <c r="I684">
        <v>33511000</v>
      </c>
    </row>
    <row r="685" spans="1:9" x14ac:dyDescent="0.25">
      <c r="A685" t="s">
        <v>128</v>
      </c>
      <c r="B685" t="s">
        <v>536</v>
      </c>
      <c r="C685" t="s">
        <v>537</v>
      </c>
      <c r="D685">
        <v>20251231</v>
      </c>
      <c r="E685">
        <v>0</v>
      </c>
      <c r="F685" t="s">
        <v>538</v>
      </c>
      <c r="G685" t="s">
        <v>539</v>
      </c>
      <c r="H685" t="s">
        <v>539</v>
      </c>
      <c r="I685">
        <v>2108898000</v>
      </c>
    </row>
    <row r="686" spans="1:9" x14ac:dyDescent="0.25">
      <c r="A686" t="s">
        <v>114</v>
      </c>
      <c r="B686" t="s">
        <v>543</v>
      </c>
      <c r="C686" t="s">
        <v>537</v>
      </c>
      <c r="D686">
        <v>20251231</v>
      </c>
      <c r="E686">
        <v>4</v>
      </c>
      <c r="F686" t="s">
        <v>538</v>
      </c>
      <c r="G686" t="s">
        <v>539</v>
      </c>
      <c r="H686" t="s">
        <v>539</v>
      </c>
      <c r="I686">
        <v>82353000</v>
      </c>
    </row>
    <row r="687" spans="1:9" x14ac:dyDescent="0.25">
      <c r="A687" t="s">
        <v>116</v>
      </c>
      <c r="B687" t="s">
        <v>536</v>
      </c>
      <c r="C687" t="s">
        <v>537</v>
      </c>
      <c r="D687">
        <v>20251231</v>
      </c>
      <c r="E687">
        <v>0</v>
      </c>
      <c r="F687" t="s">
        <v>538</v>
      </c>
      <c r="G687" t="s">
        <v>539</v>
      </c>
      <c r="H687" t="s">
        <v>539</v>
      </c>
      <c r="I687">
        <v>5645286000</v>
      </c>
    </row>
    <row r="688" spans="1:9" x14ac:dyDescent="0.25">
      <c r="A688" t="s">
        <v>276</v>
      </c>
      <c r="B688" t="s">
        <v>543</v>
      </c>
      <c r="C688" t="s">
        <v>537</v>
      </c>
      <c r="D688">
        <v>20251231</v>
      </c>
      <c r="E688">
        <v>4</v>
      </c>
      <c r="F688" t="s">
        <v>538</v>
      </c>
      <c r="G688" t="s">
        <v>539</v>
      </c>
      <c r="H688" t="s">
        <v>539</v>
      </c>
      <c r="I688">
        <v>2522000000</v>
      </c>
    </row>
    <row r="689" spans="1:9" x14ac:dyDescent="0.25">
      <c r="A689" t="s">
        <v>280</v>
      </c>
      <c r="B689" t="s">
        <v>544</v>
      </c>
      <c r="C689" t="s">
        <v>537</v>
      </c>
      <c r="D689">
        <v>20251231</v>
      </c>
      <c r="E689">
        <v>0</v>
      </c>
      <c r="F689" t="s">
        <v>538</v>
      </c>
      <c r="G689" t="s">
        <v>539</v>
      </c>
      <c r="H689" t="s">
        <v>539</v>
      </c>
      <c r="I689">
        <v>29177000000</v>
      </c>
    </row>
    <row r="690" spans="1:9" x14ac:dyDescent="0.25">
      <c r="A690" t="s">
        <v>284</v>
      </c>
      <c r="B690" t="s">
        <v>540</v>
      </c>
      <c r="C690" t="s">
        <v>537</v>
      </c>
      <c r="D690">
        <v>20251231</v>
      </c>
      <c r="E690">
        <v>0</v>
      </c>
      <c r="F690" t="s">
        <v>538</v>
      </c>
      <c r="G690" t="s">
        <v>539</v>
      </c>
      <c r="H690" t="s">
        <v>539</v>
      </c>
      <c r="I690">
        <v>50229000000</v>
      </c>
    </row>
    <row r="691" spans="1:9" x14ac:dyDescent="0.25">
      <c r="A691" t="s">
        <v>284</v>
      </c>
      <c r="B691" t="s">
        <v>544</v>
      </c>
      <c r="C691" t="s">
        <v>537</v>
      </c>
      <c r="D691">
        <v>20251231</v>
      </c>
      <c r="E691">
        <v>0</v>
      </c>
      <c r="F691" t="s">
        <v>538</v>
      </c>
      <c r="G691" t="s">
        <v>539</v>
      </c>
      <c r="H691" t="s">
        <v>539</v>
      </c>
      <c r="I691">
        <v>6759000000</v>
      </c>
    </row>
    <row r="692" spans="1:9" x14ac:dyDescent="0.25">
      <c r="A692" t="s">
        <v>130</v>
      </c>
      <c r="B692" t="s">
        <v>542</v>
      </c>
      <c r="C692" t="s">
        <v>537</v>
      </c>
      <c r="D692">
        <v>20251231</v>
      </c>
      <c r="E692">
        <v>4</v>
      </c>
      <c r="F692" t="s">
        <v>538</v>
      </c>
      <c r="G692" t="s">
        <v>539</v>
      </c>
      <c r="H692" t="s">
        <v>539</v>
      </c>
      <c r="I692">
        <v>2.02</v>
      </c>
    </row>
    <row r="693" spans="1:9" x14ac:dyDescent="0.25">
      <c r="A693" t="s">
        <v>130</v>
      </c>
      <c r="B693" t="s">
        <v>544</v>
      </c>
      <c r="C693" t="s">
        <v>537</v>
      </c>
      <c r="D693">
        <v>20251231</v>
      </c>
      <c r="E693">
        <v>0</v>
      </c>
      <c r="F693" t="s">
        <v>538</v>
      </c>
      <c r="G693" t="s">
        <v>539</v>
      </c>
      <c r="H693" t="s">
        <v>539</v>
      </c>
      <c r="I693">
        <v>465353000</v>
      </c>
    </row>
    <row r="694" spans="1:9" x14ac:dyDescent="0.25">
      <c r="A694" t="s">
        <v>136</v>
      </c>
      <c r="B694" t="s">
        <v>540</v>
      </c>
      <c r="C694" t="s">
        <v>537</v>
      </c>
      <c r="D694">
        <v>20251231</v>
      </c>
      <c r="E694">
        <v>0</v>
      </c>
      <c r="F694" t="s">
        <v>538</v>
      </c>
      <c r="G694" t="s">
        <v>539</v>
      </c>
      <c r="H694" t="s">
        <v>539</v>
      </c>
      <c r="I694">
        <v>1292736000</v>
      </c>
    </row>
    <row r="695" spans="1:9" x14ac:dyDescent="0.25">
      <c r="A695" t="s">
        <v>112</v>
      </c>
      <c r="B695" t="s">
        <v>541</v>
      </c>
      <c r="C695" t="s">
        <v>537</v>
      </c>
      <c r="D695">
        <v>20251231</v>
      </c>
      <c r="E695">
        <v>4</v>
      </c>
      <c r="F695" t="s">
        <v>538</v>
      </c>
      <c r="G695" t="s">
        <v>539</v>
      </c>
      <c r="H695" t="s">
        <v>539</v>
      </c>
      <c r="I695">
        <v>220985000</v>
      </c>
    </row>
    <row r="696" spans="1:9" x14ac:dyDescent="0.25">
      <c r="A696" t="s">
        <v>112</v>
      </c>
      <c r="B696" t="s">
        <v>544</v>
      </c>
      <c r="C696" t="s">
        <v>537</v>
      </c>
      <c r="D696">
        <v>20251231</v>
      </c>
      <c r="E696">
        <v>0</v>
      </c>
      <c r="F696" t="s">
        <v>538</v>
      </c>
      <c r="G696" t="s">
        <v>539</v>
      </c>
      <c r="H696" t="s">
        <v>539</v>
      </c>
      <c r="I696">
        <v>543474000</v>
      </c>
    </row>
    <row r="697" spans="1:9" x14ac:dyDescent="0.25">
      <c r="A697" t="s">
        <v>122</v>
      </c>
      <c r="B697" t="s">
        <v>544</v>
      </c>
      <c r="C697" t="s">
        <v>537</v>
      </c>
      <c r="D697">
        <v>20251231</v>
      </c>
      <c r="E697">
        <v>0</v>
      </c>
      <c r="F697" t="s">
        <v>538</v>
      </c>
      <c r="G697" t="s">
        <v>539</v>
      </c>
      <c r="H697" t="s">
        <v>539</v>
      </c>
      <c r="I697">
        <v>184426000</v>
      </c>
    </row>
    <row r="698" spans="1:9" x14ac:dyDescent="0.25">
      <c r="A698" t="s">
        <v>114</v>
      </c>
      <c r="B698" t="s">
        <v>542</v>
      </c>
      <c r="C698" t="s">
        <v>537</v>
      </c>
      <c r="D698">
        <v>20251231</v>
      </c>
      <c r="E698">
        <v>4</v>
      </c>
      <c r="F698" t="s">
        <v>538</v>
      </c>
      <c r="G698" t="s">
        <v>539</v>
      </c>
      <c r="H698" t="s">
        <v>539</v>
      </c>
      <c r="I698">
        <v>6.76</v>
      </c>
    </row>
    <row r="699" spans="1:9" x14ac:dyDescent="0.25">
      <c r="A699" t="s">
        <v>108</v>
      </c>
      <c r="B699" t="s">
        <v>544</v>
      </c>
      <c r="C699" t="s">
        <v>537</v>
      </c>
      <c r="D699">
        <v>20251231</v>
      </c>
      <c r="E699">
        <v>0</v>
      </c>
      <c r="F699" t="s">
        <v>538</v>
      </c>
      <c r="G699" t="s">
        <v>539</v>
      </c>
      <c r="H699" t="s">
        <v>539</v>
      </c>
      <c r="I699">
        <v>64902000</v>
      </c>
    </row>
    <row r="700" spans="1:9" x14ac:dyDescent="0.25">
      <c r="A700" t="s">
        <v>116</v>
      </c>
      <c r="B700" t="s">
        <v>544</v>
      </c>
      <c r="C700" t="s">
        <v>537</v>
      </c>
      <c r="D700">
        <v>20251231</v>
      </c>
      <c r="E700">
        <v>0</v>
      </c>
      <c r="F700" t="s">
        <v>538</v>
      </c>
      <c r="G700" t="s">
        <v>539</v>
      </c>
      <c r="H700" t="s">
        <v>539</v>
      </c>
      <c r="I700">
        <v>628854000</v>
      </c>
    </row>
    <row r="701" spans="1:9" x14ac:dyDescent="0.25">
      <c r="A701" t="s">
        <v>294</v>
      </c>
      <c r="B701" t="s">
        <v>541</v>
      </c>
      <c r="C701" t="s">
        <v>537</v>
      </c>
      <c r="D701">
        <v>20251231</v>
      </c>
      <c r="E701">
        <v>4</v>
      </c>
      <c r="F701" t="s">
        <v>538</v>
      </c>
      <c r="G701" t="s">
        <v>539</v>
      </c>
      <c r="H701" t="s">
        <v>539</v>
      </c>
      <c r="I701">
        <v>138566000000</v>
      </c>
    </row>
    <row r="702" spans="1:9" x14ac:dyDescent="0.25">
      <c r="A702" t="s">
        <v>294</v>
      </c>
      <c r="B702" t="s">
        <v>536</v>
      </c>
      <c r="C702" t="s">
        <v>537</v>
      </c>
      <c r="D702">
        <v>20251231</v>
      </c>
      <c r="E702">
        <v>0</v>
      </c>
      <c r="F702" t="s">
        <v>538</v>
      </c>
      <c r="G702" t="s">
        <v>539</v>
      </c>
      <c r="H702" t="s">
        <v>539</v>
      </c>
      <c r="I702">
        <v>3108495000000</v>
      </c>
    </row>
    <row r="703" spans="1:9" x14ac:dyDescent="0.25">
      <c r="A703" t="s">
        <v>298</v>
      </c>
      <c r="B703" t="s">
        <v>543</v>
      </c>
      <c r="C703" t="s">
        <v>537</v>
      </c>
      <c r="D703">
        <v>20251231</v>
      </c>
      <c r="E703">
        <v>4</v>
      </c>
      <c r="F703" t="s">
        <v>538</v>
      </c>
      <c r="G703" t="s">
        <v>539</v>
      </c>
      <c r="H703" t="s">
        <v>539</v>
      </c>
      <c r="I703">
        <v>1736900000</v>
      </c>
    </row>
    <row r="704" spans="1:9" x14ac:dyDescent="0.25">
      <c r="A704" t="s">
        <v>126</v>
      </c>
      <c r="B704" t="s">
        <v>540</v>
      </c>
      <c r="C704" t="s">
        <v>537</v>
      </c>
      <c r="D704">
        <v>20251231</v>
      </c>
      <c r="E704">
        <v>0</v>
      </c>
      <c r="F704" t="s">
        <v>538</v>
      </c>
      <c r="G704" t="s">
        <v>539</v>
      </c>
      <c r="H704" t="s">
        <v>539</v>
      </c>
      <c r="I704">
        <v>3070929000</v>
      </c>
    </row>
    <row r="705" spans="1:9" x14ac:dyDescent="0.25">
      <c r="A705" t="s">
        <v>304</v>
      </c>
      <c r="B705" t="s">
        <v>540</v>
      </c>
      <c r="C705" t="s">
        <v>537</v>
      </c>
      <c r="D705">
        <v>20251231</v>
      </c>
      <c r="E705">
        <v>0</v>
      </c>
      <c r="F705" t="s">
        <v>538</v>
      </c>
      <c r="G705" t="s">
        <v>539</v>
      </c>
      <c r="H705" t="s">
        <v>539</v>
      </c>
      <c r="I705">
        <v>366047000000</v>
      </c>
    </row>
    <row r="706" spans="1:9" x14ac:dyDescent="0.25">
      <c r="A706" t="s">
        <v>120</v>
      </c>
      <c r="B706" t="s">
        <v>536</v>
      </c>
      <c r="C706" t="s">
        <v>537</v>
      </c>
      <c r="D706">
        <v>20251231</v>
      </c>
      <c r="E706">
        <v>0</v>
      </c>
      <c r="F706" t="s">
        <v>538</v>
      </c>
      <c r="G706" t="s">
        <v>539</v>
      </c>
      <c r="H706" t="s">
        <v>539</v>
      </c>
      <c r="I706">
        <v>1049137000</v>
      </c>
    </row>
    <row r="707" spans="1:9" x14ac:dyDescent="0.25">
      <c r="A707" t="s">
        <v>122</v>
      </c>
      <c r="B707" t="s">
        <v>542</v>
      </c>
      <c r="C707" t="s">
        <v>537</v>
      </c>
      <c r="D707">
        <v>20251231</v>
      </c>
      <c r="E707">
        <v>4</v>
      </c>
      <c r="F707" t="s">
        <v>538</v>
      </c>
      <c r="G707" t="s">
        <v>539</v>
      </c>
      <c r="H707" t="s">
        <v>539</v>
      </c>
      <c r="I707">
        <v>2.7</v>
      </c>
    </row>
    <row r="708" spans="1:9" x14ac:dyDescent="0.25">
      <c r="A708" t="s">
        <v>122</v>
      </c>
      <c r="B708" t="s">
        <v>541</v>
      </c>
      <c r="C708" t="s">
        <v>537</v>
      </c>
      <c r="D708">
        <v>20251231</v>
      </c>
      <c r="E708">
        <v>4</v>
      </c>
      <c r="F708" t="s">
        <v>538</v>
      </c>
      <c r="G708" t="s">
        <v>539</v>
      </c>
      <c r="H708" t="s">
        <v>539</v>
      </c>
      <c r="I708">
        <v>119995000</v>
      </c>
    </row>
    <row r="709" spans="1:9" x14ac:dyDescent="0.25">
      <c r="A709" t="s">
        <v>304</v>
      </c>
      <c r="B709" t="s">
        <v>541</v>
      </c>
      <c r="C709" t="s">
        <v>537</v>
      </c>
      <c r="D709">
        <v>20251231</v>
      </c>
      <c r="E709">
        <v>4</v>
      </c>
      <c r="F709" t="s">
        <v>538</v>
      </c>
      <c r="G709" t="s">
        <v>539</v>
      </c>
      <c r="H709" t="s">
        <v>539</v>
      </c>
      <c r="I709">
        <v>11644000000</v>
      </c>
    </row>
    <row r="710" spans="1:9" x14ac:dyDescent="0.25">
      <c r="A710" t="s">
        <v>110</v>
      </c>
      <c r="B710" t="s">
        <v>544</v>
      </c>
      <c r="C710" t="s">
        <v>537</v>
      </c>
      <c r="D710">
        <v>20251231</v>
      </c>
      <c r="E710">
        <v>0</v>
      </c>
      <c r="F710" t="s">
        <v>538</v>
      </c>
      <c r="G710" t="s">
        <v>539</v>
      </c>
      <c r="H710" t="s">
        <v>539</v>
      </c>
      <c r="I710">
        <v>732054000</v>
      </c>
    </row>
    <row r="711" spans="1:9" x14ac:dyDescent="0.25">
      <c r="A711" t="s">
        <v>134</v>
      </c>
      <c r="B711" t="s">
        <v>540</v>
      </c>
      <c r="C711" t="s">
        <v>537</v>
      </c>
      <c r="D711">
        <v>20251231</v>
      </c>
      <c r="E711">
        <v>0</v>
      </c>
      <c r="F711" t="s">
        <v>538</v>
      </c>
      <c r="G711" t="s">
        <v>539</v>
      </c>
      <c r="H711" t="s">
        <v>539</v>
      </c>
      <c r="I711">
        <v>1906005000</v>
      </c>
    </row>
    <row r="712" spans="1:9" x14ac:dyDescent="0.25">
      <c r="A712" t="s">
        <v>126</v>
      </c>
      <c r="B712" t="s">
        <v>536</v>
      </c>
      <c r="C712" t="s">
        <v>537</v>
      </c>
      <c r="D712">
        <v>20251231</v>
      </c>
      <c r="E712">
        <v>0</v>
      </c>
      <c r="F712" t="s">
        <v>538</v>
      </c>
      <c r="G712" t="s">
        <v>539</v>
      </c>
      <c r="H712" t="s">
        <v>539</v>
      </c>
      <c r="I712">
        <v>2764497000</v>
      </c>
    </row>
    <row r="713" spans="1:9" x14ac:dyDescent="0.25">
      <c r="A713" t="s">
        <v>308</v>
      </c>
      <c r="B713" t="s">
        <v>542</v>
      </c>
      <c r="C713" t="s">
        <v>537</v>
      </c>
      <c r="D713">
        <v>20251231</v>
      </c>
      <c r="E713">
        <v>4</v>
      </c>
      <c r="F713" t="s">
        <v>538</v>
      </c>
      <c r="G713" t="s">
        <v>539</v>
      </c>
      <c r="H713" t="s">
        <v>539</v>
      </c>
      <c r="I713">
        <v>6.01</v>
      </c>
    </row>
    <row r="714" spans="1:9" x14ac:dyDescent="0.25">
      <c r="A714" t="s">
        <v>138</v>
      </c>
      <c r="B714" t="s">
        <v>542</v>
      </c>
      <c r="C714" t="s">
        <v>537</v>
      </c>
      <c r="D714">
        <v>20251231</v>
      </c>
      <c r="E714">
        <v>4</v>
      </c>
      <c r="F714" t="s">
        <v>538</v>
      </c>
      <c r="G714" t="s">
        <v>539</v>
      </c>
      <c r="H714" t="s">
        <v>539</v>
      </c>
      <c r="I714">
        <v>2.08</v>
      </c>
    </row>
    <row r="715" spans="1:9" x14ac:dyDescent="0.25">
      <c r="A715" t="s">
        <v>138</v>
      </c>
      <c r="B715" t="s">
        <v>536</v>
      </c>
      <c r="C715" t="s">
        <v>537</v>
      </c>
      <c r="D715">
        <v>20251231</v>
      </c>
      <c r="E715">
        <v>0</v>
      </c>
      <c r="F715" t="s">
        <v>538</v>
      </c>
      <c r="G715" t="s">
        <v>539</v>
      </c>
      <c r="H715" t="s">
        <v>539</v>
      </c>
      <c r="I715">
        <v>926744000</v>
      </c>
    </row>
    <row r="716" spans="1:9" x14ac:dyDescent="0.25">
      <c r="A716" t="s">
        <v>310</v>
      </c>
      <c r="B716" t="s">
        <v>542</v>
      </c>
      <c r="C716" t="s">
        <v>537</v>
      </c>
      <c r="D716">
        <v>20251231</v>
      </c>
      <c r="E716">
        <v>4</v>
      </c>
      <c r="F716" t="s">
        <v>538</v>
      </c>
      <c r="G716" t="s">
        <v>539</v>
      </c>
      <c r="H716" t="s">
        <v>539</v>
      </c>
      <c r="I716">
        <v>1.49</v>
      </c>
    </row>
    <row r="717" spans="1:9" x14ac:dyDescent="0.25">
      <c r="A717" t="s">
        <v>312</v>
      </c>
      <c r="B717" t="s">
        <v>541</v>
      </c>
      <c r="C717" t="s">
        <v>537</v>
      </c>
      <c r="D717">
        <v>20251231</v>
      </c>
      <c r="E717">
        <v>4</v>
      </c>
      <c r="F717" t="s">
        <v>538</v>
      </c>
      <c r="G717" t="s">
        <v>539</v>
      </c>
      <c r="H717" t="s">
        <v>539</v>
      </c>
      <c r="I717">
        <v>514306000</v>
      </c>
    </row>
    <row r="718" spans="1:9" x14ac:dyDescent="0.25">
      <c r="A718" t="s">
        <v>312</v>
      </c>
      <c r="B718" t="s">
        <v>543</v>
      </c>
      <c r="C718" t="s">
        <v>537</v>
      </c>
      <c r="D718">
        <v>20251231</v>
      </c>
      <c r="E718">
        <v>4</v>
      </c>
      <c r="F718" t="s">
        <v>538</v>
      </c>
      <c r="G718" t="s">
        <v>539</v>
      </c>
      <c r="H718" t="s">
        <v>539</v>
      </c>
      <c r="I718">
        <v>106778000</v>
      </c>
    </row>
    <row r="719" spans="1:9" x14ac:dyDescent="0.25">
      <c r="A719" t="s">
        <v>314</v>
      </c>
      <c r="B719" t="s">
        <v>540</v>
      </c>
      <c r="C719" t="s">
        <v>537</v>
      </c>
      <c r="D719">
        <v>20251231</v>
      </c>
      <c r="E719">
        <v>0</v>
      </c>
      <c r="F719" t="s">
        <v>538</v>
      </c>
      <c r="G719" t="s">
        <v>539</v>
      </c>
      <c r="H719" t="s">
        <v>539</v>
      </c>
      <c r="I719">
        <v>27515879000</v>
      </c>
    </row>
    <row r="720" spans="1:9" x14ac:dyDescent="0.25">
      <c r="A720" t="s">
        <v>132</v>
      </c>
      <c r="B720" t="s">
        <v>542</v>
      </c>
      <c r="C720" t="s">
        <v>537</v>
      </c>
      <c r="D720">
        <v>20251231</v>
      </c>
      <c r="E720">
        <v>4</v>
      </c>
      <c r="F720" t="s">
        <v>538</v>
      </c>
      <c r="G720" t="s">
        <v>539</v>
      </c>
      <c r="H720" t="s">
        <v>539</v>
      </c>
      <c r="I720">
        <v>2.73</v>
      </c>
    </row>
    <row r="721" spans="1:9" x14ac:dyDescent="0.25">
      <c r="A721" t="s">
        <v>132</v>
      </c>
      <c r="B721" t="s">
        <v>543</v>
      </c>
      <c r="C721" t="s">
        <v>537</v>
      </c>
      <c r="D721">
        <v>20251231</v>
      </c>
      <c r="E721">
        <v>4</v>
      </c>
      <c r="F721" t="s">
        <v>538</v>
      </c>
      <c r="G721" t="s">
        <v>539</v>
      </c>
      <c r="H721" t="s">
        <v>539</v>
      </c>
      <c r="I721">
        <v>18611000</v>
      </c>
    </row>
    <row r="722" spans="1:9" x14ac:dyDescent="0.25">
      <c r="A722" t="s">
        <v>318</v>
      </c>
      <c r="B722" t="s">
        <v>536</v>
      </c>
      <c r="C722" t="s">
        <v>537</v>
      </c>
      <c r="D722">
        <v>20251231</v>
      </c>
      <c r="E722">
        <v>0</v>
      </c>
      <c r="F722" t="s">
        <v>538</v>
      </c>
      <c r="G722" t="s">
        <v>539</v>
      </c>
      <c r="H722" t="s">
        <v>539</v>
      </c>
      <c r="I722">
        <v>28627953000</v>
      </c>
    </row>
    <row r="723" spans="1:9" x14ac:dyDescent="0.25">
      <c r="A723" t="s">
        <v>322</v>
      </c>
      <c r="B723" t="s">
        <v>544</v>
      </c>
      <c r="C723" t="s">
        <v>537</v>
      </c>
      <c r="D723">
        <v>20251231</v>
      </c>
      <c r="E723">
        <v>0</v>
      </c>
      <c r="F723" t="s">
        <v>538</v>
      </c>
      <c r="G723" t="s">
        <v>539</v>
      </c>
      <c r="H723" t="s">
        <v>539</v>
      </c>
      <c r="I723">
        <v>847615000</v>
      </c>
    </row>
    <row r="724" spans="1:9" x14ac:dyDescent="0.25">
      <c r="A724" t="s">
        <v>324</v>
      </c>
      <c r="B724" t="s">
        <v>544</v>
      </c>
      <c r="C724" t="s">
        <v>537</v>
      </c>
      <c r="D724">
        <v>20251231</v>
      </c>
      <c r="E724">
        <v>0</v>
      </c>
      <c r="F724" t="s">
        <v>538</v>
      </c>
      <c r="G724" t="s">
        <v>539</v>
      </c>
      <c r="H724" t="s">
        <v>539</v>
      </c>
      <c r="I724">
        <v>8494788000</v>
      </c>
    </row>
    <row r="725" spans="1:9" x14ac:dyDescent="0.25">
      <c r="A725" t="s">
        <v>136</v>
      </c>
      <c r="B725" t="s">
        <v>542</v>
      </c>
      <c r="C725" t="s">
        <v>537</v>
      </c>
      <c r="D725">
        <v>20251231</v>
      </c>
      <c r="E725">
        <v>4</v>
      </c>
      <c r="F725" t="s">
        <v>538</v>
      </c>
      <c r="G725" t="s">
        <v>539</v>
      </c>
      <c r="H725" t="s">
        <v>539</v>
      </c>
      <c r="I725">
        <v>5.07</v>
      </c>
    </row>
    <row r="726" spans="1:9" x14ac:dyDescent="0.25">
      <c r="A726" t="s">
        <v>136</v>
      </c>
      <c r="B726" t="s">
        <v>541</v>
      </c>
      <c r="C726" t="s">
        <v>537</v>
      </c>
      <c r="D726">
        <v>20251231</v>
      </c>
      <c r="E726">
        <v>4</v>
      </c>
      <c r="F726" t="s">
        <v>538</v>
      </c>
      <c r="G726" t="s">
        <v>539</v>
      </c>
      <c r="H726" t="s">
        <v>539</v>
      </c>
      <c r="I726">
        <v>57037000</v>
      </c>
    </row>
    <row r="727" spans="1:9" x14ac:dyDescent="0.25">
      <c r="A727" t="s">
        <v>14</v>
      </c>
      <c r="B727" t="s">
        <v>544</v>
      </c>
      <c r="C727" t="s">
        <v>537</v>
      </c>
      <c r="D727">
        <v>20251231</v>
      </c>
      <c r="E727">
        <v>0</v>
      </c>
      <c r="F727" t="s">
        <v>538</v>
      </c>
      <c r="G727" t="s">
        <v>539</v>
      </c>
      <c r="H727" t="s">
        <v>539</v>
      </c>
      <c r="I727">
        <v>375920000</v>
      </c>
    </row>
    <row r="728" spans="1:9" x14ac:dyDescent="0.25">
      <c r="A728" t="s">
        <v>16</v>
      </c>
      <c r="B728" t="s">
        <v>542</v>
      </c>
      <c r="C728" t="s">
        <v>537</v>
      </c>
      <c r="D728">
        <v>20251231</v>
      </c>
      <c r="E728">
        <v>4</v>
      </c>
      <c r="F728" t="s">
        <v>538</v>
      </c>
      <c r="G728" t="s">
        <v>539</v>
      </c>
      <c r="H728" t="s">
        <v>539</v>
      </c>
      <c r="I728">
        <v>6.68</v>
      </c>
    </row>
    <row r="729" spans="1:9" x14ac:dyDescent="0.25">
      <c r="A729" t="s">
        <v>16</v>
      </c>
      <c r="B729" t="s">
        <v>544</v>
      </c>
      <c r="C729" t="s">
        <v>537</v>
      </c>
      <c r="D729">
        <v>20251231</v>
      </c>
      <c r="E729">
        <v>0</v>
      </c>
      <c r="F729" t="s">
        <v>538</v>
      </c>
      <c r="G729" t="s">
        <v>539</v>
      </c>
      <c r="H729" t="s">
        <v>539</v>
      </c>
      <c r="I729">
        <v>650869000</v>
      </c>
    </row>
    <row r="730" spans="1:9" x14ac:dyDescent="0.25">
      <c r="A730" t="s">
        <v>444</v>
      </c>
      <c r="B730" t="s">
        <v>541</v>
      </c>
      <c r="C730" t="s">
        <v>537</v>
      </c>
      <c r="D730">
        <v>20251231</v>
      </c>
      <c r="E730">
        <v>4</v>
      </c>
      <c r="F730" t="s">
        <v>538</v>
      </c>
      <c r="G730" t="s">
        <v>539</v>
      </c>
      <c r="H730" t="s">
        <v>539</v>
      </c>
      <c r="I730">
        <v>948622000</v>
      </c>
    </row>
    <row r="731" spans="1:9" x14ac:dyDescent="0.25">
      <c r="A731" t="s">
        <v>124</v>
      </c>
      <c r="B731" t="s">
        <v>536</v>
      </c>
      <c r="C731" t="s">
        <v>537</v>
      </c>
      <c r="D731">
        <v>20251231</v>
      </c>
      <c r="E731">
        <v>0</v>
      </c>
      <c r="F731" t="s">
        <v>538</v>
      </c>
      <c r="G731" t="s">
        <v>539</v>
      </c>
      <c r="H731" t="s">
        <v>539</v>
      </c>
      <c r="I731">
        <v>2047057000</v>
      </c>
    </row>
    <row r="732" spans="1:9" x14ac:dyDescent="0.25">
      <c r="A732" t="s">
        <v>124</v>
      </c>
      <c r="B732" t="s">
        <v>544</v>
      </c>
      <c r="C732" t="s">
        <v>537</v>
      </c>
      <c r="D732">
        <v>20251231</v>
      </c>
      <c r="E732">
        <v>0</v>
      </c>
      <c r="F732" t="s">
        <v>538</v>
      </c>
      <c r="G732" t="s">
        <v>539</v>
      </c>
      <c r="H732" t="s">
        <v>539</v>
      </c>
      <c r="I732">
        <v>259529000</v>
      </c>
    </row>
    <row r="733" spans="1:9" x14ac:dyDescent="0.25">
      <c r="A733" t="s">
        <v>126</v>
      </c>
      <c r="B733" t="s">
        <v>542</v>
      </c>
      <c r="C733" t="s">
        <v>537</v>
      </c>
      <c r="D733">
        <v>20251231</v>
      </c>
      <c r="E733">
        <v>4</v>
      </c>
      <c r="F733" t="s">
        <v>538</v>
      </c>
      <c r="G733" t="s">
        <v>539</v>
      </c>
      <c r="H733" t="s">
        <v>539</v>
      </c>
      <c r="I733">
        <v>0.9</v>
      </c>
    </row>
    <row r="734" spans="1:9" x14ac:dyDescent="0.25">
      <c r="A734" t="s">
        <v>138</v>
      </c>
      <c r="B734" t="s">
        <v>541</v>
      </c>
      <c r="C734" t="s">
        <v>537</v>
      </c>
      <c r="D734">
        <v>20251231</v>
      </c>
      <c r="E734">
        <v>4</v>
      </c>
      <c r="F734" t="s">
        <v>538</v>
      </c>
      <c r="G734" t="s">
        <v>539</v>
      </c>
      <c r="H734" t="s">
        <v>539</v>
      </c>
      <c r="I734">
        <v>40768000</v>
      </c>
    </row>
    <row r="735" spans="1:9" x14ac:dyDescent="0.25">
      <c r="A735" t="s">
        <v>20</v>
      </c>
      <c r="B735" t="s">
        <v>540</v>
      </c>
      <c r="C735" t="s">
        <v>537</v>
      </c>
      <c r="D735">
        <v>20251231</v>
      </c>
      <c r="E735">
        <v>0</v>
      </c>
      <c r="F735" t="s">
        <v>538</v>
      </c>
      <c r="G735" t="s">
        <v>539</v>
      </c>
      <c r="H735" t="s">
        <v>539</v>
      </c>
      <c r="I735">
        <v>2239018000</v>
      </c>
    </row>
    <row r="736" spans="1:9" x14ac:dyDescent="0.25">
      <c r="A736" t="s">
        <v>144</v>
      </c>
      <c r="B736" t="s">
        <v>543</v>
      </c>
      <c r="C736" t="s">
        <v>537</v>
      </c>
      <c r="D736">
        <v>20251231</v>
      </c>
      <c r="E736">
        <v>4</v>
      </c>
      <c r="F736" t="s">
        <v>538</v>
      </c>
      <c r="G736" t="s">
        <v>539</v>
      </c>
      <c r="H736" t="s">
        <v>539</v>
      </c>
      <c r="I736">
        <v>20929000</v>
      </c>
    </row>
    <row r="737" spans="1:9" x14ac:dyDescent="0.25">
      <c r="A737" t="s">
        <v>128</v>
      </c>
      <c r="B737" t="s">
        <v>540</v>
      </c>
      <c r="C737" t="s">
        <v>537</v>
      </c>
      <c r="D737">
        <v>20251231</v>
      </c>
      <c r="E737">
        <v>0</v>
      </c>
      <c r="F737" t="s">
        <v>538</v>
      </c>
      <c r="G737" t="s">
        <v>539</v>
      </c>
      <c r="H737" t="s">
        <v>539</v>
      </c>
      <c r="I737">
        <v>2432589000</v>
      </c>
    </row>
    <row r="738" spans="1:9" x14ac:dyDescent="0.25">
      <c r="A738" t="s">
        <v>346</v>
      </c>
      <c r="B738" t="s">
        <v>542</v>
      </c>
      <c r="C738" t="s">
        <v>537</v>
      </c>
      <c r="D738">
        <v>20251231</v>
      </c>
      <c r="E738">
        <v>4</v>
      </c>
      <c r="F738" t="s">
        <v>538</v>
      </c>
      <c r="G738" t="s">
        <v>539</v>
      </c>
      <c r="H738" t="s">
        <v>539</v>
      </c>
      <c r="I738">
        <v>8.94</v>
      </c>
    </row>
    <row r="739" spans="1:9" x14ac:dyDescent="0.25">
      <c r="A739" t="s">
        <v>22</v>
      </c>
      <c r="B739" t="s">
        <v>542</v>
      </c>
      <c r="C739" t="s">
        <v>537</v>
      </c>
      <c r="D739">
        <v>20251231</v>
      </c>
      <c r="E739">
        <v>4</v>
      </c>
      <c r="F739" t="s">
        <v>538</v>
      </c>
      <c r="G739" t="s">
        <v>539</v>
      </c>
      <c r="H739" t="s">
        <v>539</v>
      </c>
      <c r="I739">
        <v>6.82</v>
      </c>
    </row>
    <row r="740" spans="1:9" x14ac:dyDescent="0.25">
      <c r="A740" t="s">
        <v>24</v>
      </c>
      <c r="B740" t="s">
        <v>540</v>
      </c>
      <c r="C740" t="s">
        <v>537</v>
      </c>
      <c r="D740">
        <v>20251231</v>
      </c>
      <c r="E740">
        <v>0</v>
      </c>
      <c r="F740" t="s">
        <v>538</v>
      </c>
      <c r="G740" t="s">
        <v>539</v>
      </c>
      <c r="H740" t="s">
        <v>539</v>
      </c>
      <c r="I740">
        <v>8396435000</v>
      </c>
    </row>
    <row r="741" spans="1:9" x14ac:dyDescent="0.25">
      <c r="A741" t="s">
        <v>24</v>
      </c>
      <c r="B741" t="s">
        <v>543</v>
      </c>
      <c r="C741" t="s">
        <v>537</v>
      </c>
      <c r="D741">
        <v>20251231</v>
      </c>
      <c r="E741">
        <v>4</v>
      </c>
      <c r="F741" t="s">
        <v>538</v>
      </c>
      <c r="G741" t="s">
        <v>539</v>
      </c>
      <c r="H741" t="s">
        <v>539</v>
      </c>
      <c r="I741">
        <v>66131000</v>
      </c>
    </row>
    <row r="742" spans="1:9" x14ac:dyDescent="0.25">
      <c r="A742" t="s">
        <v>26</v>
      </c>
      <c r="B742" t="s">
        <v>541</v>
      </c>
      <c r="C742" t="s">
        <v>537</v>
      </c>
      <c r="D742">
        <v>20251231</v>
      </c>
      <c r="E742">
        <v>4</v>
      </c>
      <c r="F742" t="s">
        <v>538</v>
      </c>
      <c r="G742" t="s">
        <v>539</v>
      </c>
      <c r="H742" t="s">
        <v>539</v>
      </c>
      <c r="I742">
        <v>77199000</v>
      </c>
    </row>
    <row r="743" spans="1:9" x14ac:dyDescent="0.25">
      <c r="A743" t="s">
        <v>28</v>
      </c>
      <c r="B743" t="s">
        <v>536</v>
      </c>
      <c r="C743" t="s">
        <v>537</v>
      </c>
      <c r="D743">
        <v>20251231</v>
      </c>
      <c r="E743">
        <v>0</v>
      </c>
      <c r="F743" t="s">
        <v>538</v>
      </c>
      <c r="G743" t="s">
        <v>539</v>
      </c>
      <c r="H743" t="s">
        <v>539</v>
      </c>
      <c r="I743">
        <v>6278026000</v>
      </c>
    </row>
    <row r="744" spans="1:9" x14ac:dyDescent="0.25">
      <c r="A744" t="s">
        <v>30</v>
      </c>
      <c r="B744" t="s">
        <v>542</v>
      </c>
      <c r="C744" t="s">
        <v>537</v>
      </c>
      <c r="D744">
        <v>20251231</v>
      </c>
      <c r="E744">
        <v>4</v>
      </c>
      <c r="F744" t="s">
        <v>538</v>
      </c>
      <c r="G744" t="s">
        <v>539</v>
      </c>
      <c r="H744" t="s">
        <v>539</v>
      </c>
      <c r="I744">
        <v>3.1</v>
      </c>
    </row>
    <row r="745" spans="1:9" x14ac:dyDescent="0.25">
      <c r="A745" t="s">
        <v>30</v>
      </c>
      <c r="B745" t="s">
        <v>541</v>
      </c>
      <c r="C745" t="s">
        <v>537</v>
      </c>
      <c r="D745">
        <v>20251231</v>
      </c>
      <c r="E745">
        <v>4</v>
      </c>
      <c r="F745" t="s">
        <v>538</v>
      </c>
      <c r="G745" t="s">
        <v>539</v>
      </c>
      <c r="H745" t="s">
        <v>539</v>
      </c>
      <c r="I745">
        <v>160271000</v>
      </c>
    </row>
    <row r="746" spans="1:9" x14ac:dyDescent="0.25">
      <c r="A746" t="s">
        <v>30</v>
      </c>
      <c r="B746" t="s">
        <v>536</v>
      </c>
      <c r="C746" t="s">
        <v>537</v>
      </c>
      <c r="D746">
        <v>20251231</v>
      </c>
      <c r="E746">
        <v>0</v>
      </c>
      <c r="F746" t="s">
        <v>538</v>
      </c>
      <c r="G746" t="s">
        <v>539</v>
      </c>
      <c r="H746" t="s">
        <v>539</v>
      </c>
      <c r="I746">
        <v>2883160000</v>
      </c>
    </row>
    <row r="747" spans="1:9" x14ac:dyDescent="0.25">
      <c r="A747" t="s">
        <v>130</v>
      </c>
      <c r="B747" t="s">
        <v>541</v>
      </c>
      <c r="C747" t="s">
        <v>537</v>
      </c>
      <c r="D747">
        <v>20251231</v>
      </c>
      <c r="E747">
        <v>4</v>
      </c>
      <c r="F747" t="s">
        <v>538</v>
      </c>
      <c r="G747" t="s">
        <v>539</v>
      </c>
      <c r="H747" t="s">
        <v>539</v>
      </c>
      <c r="I747">
        <v>202958000</v>
      </c>
    </row>
    <row r="748" spans="1:9" x14ac:dyDescent="0.25">
      <c r="A748" t="s">
        <v>134</v>
      </c>
      <c r="B748" t="s">
        <v>541</v>
      </c>
      <c r="C748" t="s">
        <v>537</v>
      </c>
      <c r="D748">
        <v>20251231</v>
      </c>
      <c r="E748">
        <v>4</v>
      </c>
      <c r="F748" t="s">
        <v>538</v>
      </c>
      <c r="G748" t="s">
        <v>539</v>
      </c>
      <c r="H748" t="s">
        <v>539</v>
      </c>
      <c r="I748">
        <v>92638000</v>
      </c>
    </row>
    <row r="749" spans="1:9" x14ac:dyDescent="0.25">
      <c r="A749" t="s">
        <v>134</v>
      </c>
      <c r="B749" t="s">
        <v>544</v>
      </c>
      <c r="C749" t="s">
        <v>537</v>
      </c>
      <c r="D749">
        <v>20251231</v>
      </c>
      <c r="E749">
        <v>0</v>
      </c>
      <c r="F749" t="s">
        <v>538</v>
      </c>
      <c r="G749" t="s">
        <v>539</v>
      </c>
      <c r="H749" t="s">
        <v>539</v>
      </c>
      <c r="I749">
        <v>129563000</v>
      </c>
    </row>
    <row r="750" spans="1:9" x14ac:dyDescent="0.25">
      <c r="A750" t="s">
        <v>446</v>
      </c>
      <c r="B750" t="s">
        <v>536</v>
      </c>
      <c r="C750" t="s">
        <v>537</v>
      </c>
      <c r="D750">
        <v>20251231</v>
      </c>
      <c r="E750">
        <v>0</v>
      </c>
      <c r="F750" t="s">
        <v>538</v>
      </c>
      <c r="G750" t="s">
        <v>539</v>
      </c>
      <c r="H750" t="s">
        <v>539</v>
      </c>
      <c r="I750">
        <v>3710302000</v>
      </c>
    </row>
    <row r="751" spans="1:9" x14ac:dyDescent="0.25">
      <c r="A751" t="s">
        <v>356</v>
      </c>
      <c r="B751" t="s">
        <v>536</v>
      </c>
      <c r="C751" t="s">
        <v>537</v>
      </c>
      <c r="D751">
        <v>20251231</v>
      </c>
      <c r="E751">
        <v>0</v>
      </c>
      <c r="F751" t="s">
        <v>538</v>
      </c>
      <c r="G751" t="s">
        <v>539</v>
      </c>
      <c r="H751" t="s">
        <v>539</v>
      </c>
      <c r="I751">
        <v>74581427000</v>
      </c>
    </row>
    <row r="752" spans="1:9" x14ac:dyDescent="0.25">
      <c r="A752" t="s">
        <v>360</v>
      </c>
      <c r="B752" t="s">
        <v>536</v>
      </c>
      <c r="C752" t="s">
        <v>537</v>
      </c>
      <c r="D752">
        <v>20251231</v>
      </c>
      <c r="E752">
        <v>0</v>
      </c>
      <c r="F752" t="s">
        <v>538</v>
      </c>
      <c r="G752" t="s">
        <v>539</v>
      </c>
      <c r="H752" t="s">
        <v>539</v>
      </c>
      <c r="I752">
        <v>11014171000</v>
      </c>
    </row>
    <row r="753" spans="1:9" x14ac:dyDescent="0.25">
      <c r="A753" t="s">
        <v>362</v>
      </c>
      <c r="B753" t="s">
        <v>540</v>
      </c>
      <c r="C753" t="s">
        <v>537</v>
      </c>
      <c r="D753">
        <v>20251231</v>
      </c>
      <c r="E753">
        <v>0</v>
      </c>
      <c r="F753" t="s">
        <v>538</v>
      </c>
      <c r="G753" t="s">
        <v>539</v>
      </c>
      <c r="H753" t="s">
        <v>539</v>
      </c>
      <c r="I753">
        <v>164572121000</v>
      </c>
    </row>
    <row r="754" spans="1:9" x14ac:dyDescent="0.25">
      <c r="A754" t="s">
        <v>362</v>
      </c>
      <c r="B754" t="s">
        <v>541</v>
      </c>
      <c r="C754" t="s">
        <v>537</v>
      </c>
      <c r="D754">
        <v>20251231</v>
      </c>
      <c r="E754">
        <v>4</v>
      </c>
      <c r="F754" t="s">
        <v>538</v>
      </c>
      <c r="G754" t="s">
        <v>539</v>
      </c>
      <c r="H754" t="s">
        <v>539</v>
      </c>
      <c r="I754">
        <v>12436658000</v>
      </c>
    </row>
    <row r="755" spans="1:9" x14ac:dyDescent="0.25">
      <c r="A755" t="s">
        <v>142</v>
      </c>
      <c r="B755" t="s">
        <v>542</v>
      </c>
      <c r="C755" t="s">
        <v>537</v>
      </c>
      <c r="D755">
        <v>20251231</v>
      </c>
      <c r="E755">
        <v>4</v>
      </c>
      <c r="F755" t="s">
        <v>538</v>
      </c>
      <c r="G755" t="s">
        <v>539</v>
      </c>
      <c r="H755" t="s">
        <v>539</v>
      </c>
      <c r="I755">
        <v>3.57</v>
      </c>
    </row>
    <row r="756" spans="1:9" x14ac:dyDescent="0.25">
      <c r="A756" t="s">
        <v>142</v>
      </c>
      <c r="B756" t="s">
        <v>543</v>
      </c>
      <c r="C756" t="s">
        <v>537</v>
      </c>
      <c r="D756">
        <v>20251231</v>
      </c>
      <c r="E756">
        <v>4</v>
      </c>
      <c r="F756" t="s">
        <v>538</v>
      </c>
      <c r="G756" t="s">
        <v>539</v>
      </c>
      <c r="H756" t="s">
        <v>539</v>
      </c>
      <c r="I756">
        <v>19261000</v>
      </c>
    </row>
    <row r="757" spans="1:9" x14ac:dyDescent="0.25">
      <c r="A757" t="s">
        <v>142</v>
      </c>
      <c r="B757" t="s">
        <v>544</v>
      </c>
      <c r="C757" t="s">
        <v>537</v>
      </c>
      <c r="D757">
        <v>20251231</v>
      </c>
      <c r="E757">
        <v>0</v>
      </c>
      <c r="F757" t="s">
        <v>538</v>
      </c>
      <c r="G757" t="s">
        <v>539</v>
      </c>
      <c r="H757" t="s">
        <v>539</v>
      </c>
      <c r="I757">
        <v>184161000</v>
      </c>
    </row>
    <row r="758" spans="1:9" x14ac:dyDescent="0.25">
      <c r="A758" t="s">
        <v>450</v>
      </c>
      <c r="B758" t="s">
        <v>536</v>
      </c>
      <c r="C758" t="s">
        <v>537</v>
      </c>
      <c r="D758">
        <v>20251231</v>
      </c>
      <c r="E758">
        <v>0</v>
      </c>
      <c r="F758" t="s">
        <v>538</v>
      </c>
      <c r="G758" t="s">
        <v>539</v>
      </c>
      <c r="H758" t="s">
        <v>539</v>
      </c>
      <c r="I758">
        <v>12984768000</v>
      </c>
    </row>
    <row r="759" spans="1:9" x14ac:dyDescent="0.25">
      <c r="A759" t="s">
        <v>452</v>
      </c>
      <c r="B759" t="s">
        <v>540</v>
      </c>
      <c r="C759" t="s">
        <v>537</v>
      </c>
      <c r="D759">
        <v>20251231</v>
      </c>
      <c r="E759">
        <v>0</v>
      </c>
      <c r="F759" t="s">
        <v>538</v>
      </c>
      <c r="G759" t="s">
        <v>539</v>
      </c>
      <c r="H759" t="s">
        <v>539</v>
      </c>
      <c r="I759">
        <v>73094090000</v>
      </c>
    </row>
    <row r="760" spans="1:9" x14ac:dyDescent="0.25">
      <c r="A760" t="s">
        <v>368</v>
      </c>
      <c r="B760" t="s">
        <v>543</v>
      </c>
      <c r="C760" t="s">
        <v>537</v>
      </c>
      <c r="D760">
        <v>20251231</v>
      </c>
      <c r="E760">
        <v>4</v>
      </c>
      <c r="F760" t="s">
        <v>538</v>
      </c>
      <c r="G760" t="s">
        <v>539</v>
      </c>
      <c r="H760" t="s">
        <v>539</v>
      </c>
      <c r="I760">
        <v>110682000</v>
      </c>
    </row>
    <row r="761" spans="1:9" x14ac:dyDescent="0.25">
      <c r="A761" t="s">
        <v>36</v>
      </c>
      <c r="B761" t="s">
        <v>536</v>
      </c>
      <c r="C761" t="s">
        <v>537</v>
      </c>
      <c r="D761">
        <v>20251231</v>
      </c>
      <c r="E761">
        <v>0</v>
      </c>
      <c r="F761" t="s">
        <v>538</v>
      </c>
      <c r="G761" t="s">
        <v>539</v>
      </c>
      <c r="H761" t="s">
        <v>539</v>
      </c>
      <c r="I761">
        <v>5319838000</v>
      </c>
    </row>
    <row r="762" spans="1:9" x14ac:dyDescent="0.25">
      <c r="A762" t="s">
        <v>142</v>
      </c>
      <c r="B762" t="s">
        <v>536</v>
      </c>
      <c r="C762" t="s">
        <v>537</v>
      </c>
      <c r="D762">
        <v>20251231</v>
      </c>
      <c r="E762">
        <v>0</v>
      </c>
      <c r="F762" t="s">
        <v>538</v>
      </c>
      <c r="G762" t="s">
        <v>539</v>
      </c>
      <c r="H762" t="s">
        <v>539</v>
      </c>
      <c r="I762">
        <v>1465581000</v>
      </c>
    </row>
    <row r="763" spans="1:9" x14ac:dyDescent="0.25">
      <c r="A763" t="s">
        <v>40</v>
      </c>
      <c r="B763" t="s">
        <v>543</v>
      </c>
      <c r="C763" t="s">
        <v>537</v>
      </c>
      <c r="D763">
        <v>20251231</v>
      </c>
      <c r="E763">
        <v>4</v>
      </c>
      <c r="F763" t="s">
        <v>538</v>
      </c>
      <c r="G763" t="s">
        <v>539</v>
      </c>
      <c r="H763" t="s">
        <v>539</v>
      </c>
      <c r="I763">
        <v>23801000</v>
      </c>
    </row>
    <row r="764" spans="1:9" x14ac:dyDescent="0.25">
      <c r="A764" t="s">
        <v>454</v>
      </c>
      <c r="B764" t="s">
        <v>542</v>
      </c>
      <c r="C764" t="s">
        <v>537</v>
      </c>
      <c r="D764">
        <v>20251231</v>
      </c>
      <c r="E764">
        <v>4</v>
      </c>
      <c r="F764" t="s">
        <v>538</v>
      </c>
      <c r="G764" t="s">
        <v>539</v>
      </c>
      <c r="H764" t="s">
        <v>539</v>
      </c>
      <c r="I764">
        <v>5.72</v>
      </c>
    </row>
    <row r="765" spans="1:9" x14ac:dyDescent="0.25">
      <c r="A765" t="s">
        <v>454</v>
      </c>
      <c r="B765" t="s">
        <v>536</v>
      </c>
      <c r="C765" t="s">
        <v>537</v>
      </c>
      <c r="D765">
        <v>20251231</v>
      </c>
      <c r="E765">
        <v>0</v>
      </c>
      <c r="F765" t="s">
        <v>538</v>
      </c>
      <c r="G765" t="s">
        <v>539</v>
      </c>
      <c r="H765" t="s">
        <v>539</v>
      </c>
      <c r="I765">
        <v>30847285000</v>
      </c>
    </row>
    <row r="766" spans="1:9" x14ac:dyDescent="0.25">
      <c r="A766" t="s">
        <v>42</v>
      </c>
      <c r="B766" t="s">
        <v>541</v>
      </c>
      <c r="C766" t="s">
        <v>537</v>
      </c>
      <c r="D766">
        <v>20251231</v>
      </c>
      <c r="E766">
        <v>4</v>
      </c>
      <c r="F766" t="s">
        <v>538</v>
      </c>
      <c r="G766" t="s">
        <v>539</v>
      </c>
      <c r="H766" t="s">
        <v>539</v>
      </c>
      <c r="I766">
        <v>151499000</v>
      </c>
    </row>
    <row r="767" spans="1:9" x14ac:dyDescent="0.25">
      <c r="A767" t="s">
        <v>144</v>
      </c>
      <c r="B767" t="s">
        <v>540</v>
      </c>
      <c r="C767" t="s">
        <v>537</v>
      </c>
      <c r="D767">
        <v>20251231</v>
      </c>
      <c r="E767">
        <v>0</v>
      </c>
      <c r="F767" t="s">
        <v>538</v>
      </c>
      <c r="G767" t="s">
        <v>539</v>
      </c>
      <c r="H767" t="s">
        <v>539</v>
      </c>
      <c r="I767">
        <v>1359491000</v>
      </c>
    </row>
    <row r="768" spans="1:9" x14ac:dyDescent="0.25">
      <c r="A768" t="s">
        <v>456</v>
      </c>
      <c r="B768" t="s">
        <v>542</v>
      </c>
      <c r="C768" t="s">
        <v>537</v>
      </c>
      <c r="D768">
        <v>20251231</v>
      </c>
      <c r="E768">
        <v>4</v>
      </c>
      <c r="F768" t="s">
        <v>538</v>
      </c>
      <c r="G768" t="s">
        <v>539</v>
      </c>
      <c r="H768" t="s">
        <v>539</v>
      </c>
      <c r="I768">
        <v>5.7</v>
      </c>
    </row>
    <row r="769" spans="1:9" x14ac:dyDescent="0.25">
      <c r="A769" t="s">
        <v>146</v>
      </c>
      <c r="B769" t="s">
        <v>541</v>
      </c>
      <c r="C769" t="s">
        <v>537</v>
      </c>
      <c r="D769">
        <v>20251231</v>
      </c>
      <c r="E769">
        <v>4</v>
      </c>
      <c r="F769" t="s">
        <v>538</v>
      </c>
      <c r="G769" t="s">
        <v>539</v>
      </c>
      <c r="H769" t="s">
        <v>539</v>
      </c>
      <c r="I769">
        <v>76653000</v>
      </c>
    </row>
    <row r="770" spans="1:9" x14ac:dyDescent="0.25">
      <c r="A770" t="s">
        <v>146</v>
      </c>
      <c r="B770" t="s">
        <v>543</v>
      </c>
      <c r="C770" t="s">
        <v>537</v>
      </c>
      <c r="D770">
        <v>20251231</v>
      </c>
      <c r="E770">
        <v>4</v>
      </c>
      <c r="F770" t="s">
        <v>538</v>
      </c>
      <c r="G770" t="s">
        <v>539</v>
      </c>
      <c r="H770" t="s">
        <v>539</v>
      </c>
      <c r="I770">
        <v>-1933000</v>
      </c>
    </row>
    <row r="771" spans="1:9" x14ac:dyDescent="0.25">
      <c r="A771" t="s">
        <v>382</v>
      </c>
      <c r="B771" t="s">
        <v>541</v>
      </c>
      <c r="C771" t="s">
        <v>537</v>
      </c>
      <c r="D771">
        <v>20251231</v>
      </c>
      <c r="E771">
        <v>4</v>
      </c>
      <c r="F771" t="s">
        <v>538</v>
      </c>
      <c r="G771" t="s">
        <v>539</v>
      </c>
      <c r="H771" t="s">
        <v>539</v>
      </c>
      <c r="I771">
        <v>58696000000</v>
      </c>
    </row>
    <row r="772" spans="1:9" x14ac:dyDescent="0.25">
      <c r="A772" t="s">
        <v>462</v>
      </c>
      <c r="B772" t="s">
        <v>541</v>
      </c>
      <c r="C772" t="s">
        <v>537</v>
      </c>
      <c r="D772">
        <v>20251231</v>
      </c>
      <c r="E772">
        <v>4</v>
      </c>
      <c r="F772" t="s">
        <v>538</v>
      </c>
      <c r="G772" t="s">
        <v>539</v>
      </c>
      <c r="H772" t="s">
        <v>539</v>
      </c>
      <c r="I772">
        <v>410928000</v>
      </c>
    </row>
    <row r="773" spans="1:9" x14ac:dyDescent="0.25">
      <c r="A773" t="s">
        <v>150</v>
      </c>
      <c r="B773" t="s">
        <v>540</v>
      </c>
      <c r="C773" t="s">
        <v>537</v>
      </c>
      <c r="D773">
        <v>20251231</v>
      </c>
      <c r="E773">
        <v>0</v>
      </c>
      <c r="F773" t="s">
        <v>538</v>
      </c>
      <c r="G773" t="s">
        <v>539</v>
      </c>
      <c r="H773" t="s">
        <v>539</v>
      </c>
      <c r="I773">
        <v>2291454981</v>
      </c>
    </row>
    <row r="774" spans="1:9" x14ac:dyDescent="0.25">
      <c r="A774" t="s">
        <v>150</v>
      </c>
      <c r="B774" t="s">
        <v>544</v>
      </c>
      <c r="C774" t="s">
        <v>537</v>
      </c>
      <c r="D774">
        <v>20251231</v>
      </c>
      <c r="E774">
        <v>0</v>
      </c>
      <c r="F774" t="s">
        <v>538</v>
      </c>
      <c r="G774" t="s">
        <v>539</v>
      </c>
      <c r="H774" t="s">
        <v>539</v>
      </c>
      <c r="I774">
        <v>285343832</v>
      </c>
    </row>
    <row r="775" spans="1:9" x14ac:dyDescent="0.25">
      <c r="A775" t="s">
        <v>384</v>
      </c>
      <c r="B775" t="s">
        <v>536</v>
      </c>
      <c r="C775" t="s">
        <v>537</v>
      </c>
      <c r="D775">
        <v>20251231</v>
      </c>
      <c r="E775">
        <v>0</v>
      </c>
      <c r="F775" t="s">
        <v>538</v>
      </c>
      <c r="G775" t="s">
        <v>539</v>
      </c>
      <c r="H775" t="s">
        <v>539</v>
      </c>
      <c r="I775">
        <v>14408191000</v>
      </c>
    </row>
    <row r="776" spans="1:9" x14ac:dyDescent="0.25">
      <c r="A776" t="s">
        <v>140</v>
      </c>
      <c r="B776" t="s">
        <v>541</v>
      </c>
      <c r="C776" t="s">
        <v>537</v>
      </c>
      <c r="D776">
        <v>20251231</v>
      </c>
      <c r="E776">
        <v>4</v>
      </c>
      <c r="F776" t="s">
        <v>538</v>
      </c>
      <c r="G776" t="s">
        <v>539</v>
      </c>
      <c r="H776" t="s">
        <v>539</v>
      </c>
      <c r="I776">
        <v>75313000</v>
      </c>
    </row>
    <row r="777" spans="1:9" x14ac:dyDescent="0.25">
      <c r="A777" t="s">
        <v>142</v>
      </c>
      <c r="B777" t="s">
        <v>540</v>
      </c>
      <c r="C777" t="s">
        <v>537</v>
      </c>
      <c r="D777">
        <v>20251231</v>
      </c>
      <c r="E777">
        <v>0</v>
      </c>
      <c r="F777" t="s">
        <v>538</v>
      </c>
      <c r="G777" t="s">
        <v>539</v>
      </c>
      <c r="H777" t="s">
        <v>539</v>
      </c>
      <c r="I777">
        <v>1649742000</v>
      </c>
    </row>
    <row r="778" spans="1:9" x14ac:dyDescent="0.25">
      <c r="A778" t="s">
        <v>472</v>
      </c>
      <c r="B778" t="s">
        <v>542</v>
      </c>
      <c r="C778" t="s">
        <v>537</v>
      </c>
      <c r="D778">
        <v>20251231</v>
      </c>
      <c r="E778">
        <v>4</v>
      </c>
      <c r="F778" t="s">
        <v>538</v>
      </c>
      <c r="G778" t="s">
        <v>539</v>
      </c>
      <c r="H778" t="s">
        <v>539</v>
      </c>
      <c r="I778">
        <v>3.75</v>
      </c>
    </row>
    <row r="779" spans="1:9" x14ac:dyDescent="0.25">
      <c r="A779" t="s">
        <v>472</v>
      </c>
      <c r="B779" t="s">
        <v>536</v>
      </c>
      <c r="C779" t="s">
        <v>537</v>
      </c>
      <c r="D779">
        <v>20251231</v>
      </c>
      <c r="E779">
        <v>0</v>
      </c>
      <c r="F779" t="s">
        <v>538</v>
      </c>
      <c r="G779" t="s">
        <v>539</v>
      </c>
      <c r="H779" t="s">
        <v>539</v>
      </c>
      <c r="I779">
        <v>4034837000</v>
      </c>
    </row>
    <row r="780" spans="1:9" x14ac:dyDescent="0.25">
      <c r="A780" t="s">
        <v>472</v>
      </c>
      <c r="B780" t="s">
        <v>544</v>
      </c>
      <c r="C780" t="s">
        <v>537</v>
      </c>
      <c r="D780">
        <v>20251231</v>
      </c>
      <c r="E780">
        <v>0</v>
      </c>
      <c r="F780" t="s">
        <v>538</v>
      </c>
      <c r="G780" t="s">
        <v>539</v>
      </c>
      <c r="H780" t="s">
        <v>539</v>
      </c>
      <c r="I780">
        <v>368657000</v>
      </c>
    </row>
    <row r="781" spans="1:9" x14ac:dyDescent="0.25">
      <c r="A781" t="s">
        <v>468</v>
      </c>
      <c r="B781" t="s">
        <v>542</v>
      </c>
      <c r="C781" t="s">
        <v>537</v>
      </c>
      <c r="D781">
        <v>20251231</v>
      </c>
      <c r="E781">
        <v>4</v>
      </c>
      <c r="F781" t="s">
        <v>538</v>
      </c>
      <c r="G781" t="s">
        <v>539</v>
      </c>
      <c r="H781" t="s">
        <v>539</v>
      </c>
      <c r="I781">
        <v>1.52</v>
      </c>
    </row>
    <row r="782" spans="1:9" x14ac:dyDescent="0.25">
      <c r="A782" t="s">
        <v>46</v>
      </c>
      <c r="B782" t="s">
        <v>544</v>
      </c>
      <c r="C782" t="s">
        <v>537</v>
      </c>
      <c r="D782">
        <v>20251231</v>
      </c>
      <c r="E782">
        <v>0</v>
      </c>
      <c r="F782" t="s">
        <v>538</v>
      </c>
      <c r="G782" t="s">
        <v>539</v>
      </c>
      <c r="H782" t="s">
        <v>539</v>
      </c>
      <c r="I782">
        <v>242157000</v>
      </c>
    </row>
    <row r="783" spans="1:9" x14ac:dyDescent="0.25">
      <c r="A783" t="s">
        <v>148</v>
      </c>
      <c r="B783" t="s">
        <v>543</v>
      </c>
      <c r="C783" t="s">
        <v>537</v>
      </c>
      <c r="D783">
        <v>20251231</v>
      </c>
      <c r="E783">
        <v>4</v>
      </c>
      <c r="F783" t="s">
        <v>538</v>
      </c>
      <c r="G783" t="s">
        <v>539</v>
      </c>
      <c r="H783" t="s">
        <v>539</v>
      </c>
      <c r="I783">
        <v>13974000</v>
      </c>
    </row>
    <row r="784" spans="1:9" x14ac:dyDescent="0.25">
      <c r="A784" t="s">
        <v>394</v>
      </c>
      <c r="B784" t="s">
        <v>544</v>
      </c>
      <c r="C784" t="s">
        <v>537</v>
      </c>
      <c r="D784">
        <v>20251231</v>
      </c>
      <c r="E784">
        <v>0</v>
      </c>
      <c r="F784" t="s">
        <v>538</v>
      </c>
      <c r="G784" t="s">
        <v>539</v>
      </c>
      <c r="H784" t="s">
        <v>539</v>
      </c>
      <c r="I784">
        <v>1390005000</v>
      </c>
    </row>
    <row r="785" spans="1:9" x14ac:dyDescent="0.25">
      <c r="A785" t="s">
        <v>396</v>
      </c>
      <c r="B785" t="s">
        <v>536</v>
      </c>
      <c r="C785" t="s">
        <v>537</v>
      </c>
      <c r="D785">
        <v>20251231</v>
      </c>
      <c r="E785">
        <v>0</v>
      </c>
      <c r="F785" t="s">
        <v>538</v>
      </c>
      <c r="G785" t="s">
        <v>539</v>
      </c>
      <c r="H785" t="s">
        <v>539</v>
      </c>
      <c r="I785">
        <v>5668945000</v>
      </c>
    </row>
    <row r="786" spans="1:9" x14ac:dyDescent="0.25">
      <c r="A786" t="s">
        <v>144</v>
      </c>
      <c r="B786" t="s">
        <v>541</v>
      </c>
      <c r="C786" t="s">
        <v>537</v>
      </c>
      <c r="D786">
        <v>20251231</v>
      </c>
      <c r="E786">
        <v>4</v>
      </c>
      <c r="F786" t="s">
        <v>538</v>
      </c>
      <c r="G786" t="s">
        <v>539</v>
      </c>
      <c r="H786" t="s">
        <v>539</v>
      </c>
      <c r="I786">
        <v>84326000</v>
      </c>
    </row>
    <row r="787" spans="1:9" x14ac:dyDescent="0.25">
      <c r="A787" t="s">
        <v>106</v>
      </c>
      <c r="B787" t="s">
        <v>542</v>
      </c>
      <c r="C787" t="s">
        <v>546</v>
      </c>
      <c r="D787">
        <v>20251231</v>
      </c>
      <c r="E787">
        <v>4</v>
      </c>
      <c r="F787" t="s">
        <v>538</v>
      </c>
      <c r="G787" t="s">
        <v>539</v>
      </c>
      <c r="H787" t="s">
        <v>539</v>
      </c>
      <c r="I787">
        <v>12.31</v>
      </c>
    </row>
    <row r="788" spans="1:9" x14ac:dyDescent="0.25">
      <c r="A788" t="s">
        <v>152</v>
      </c>
      <c r="B788" t="s">
        <v>536</v>
      </c>
      <c r="C788" t="s">
        <v>537</v>
      </c>
      <c r="D788">
        <v>20251231</v>
      </c>
      <c r="E788">
        <v>0</v>
      </c>
      <c r="F788" t="s">
        <v>538</v>
      </c>
      <c r="G788" t="s">
        <v>539</v>
      </c>
      <c r="H788" t="s">
        <v>539</v>
      </c>
      <c r="I788">
        <v>958976000</v>
      </c>
    </row>
    <row r="789" spans="1:9" x14ac:dyDescent="0.25">
      <c r="A789" t="s">
        <v>154</v>
      </c>
      <c r="B789" t="s">
        <v>544</v>
      </c>
      <c r="C789" t="s">
        <v>537</v>
      </c>
      <c r="D789">
        <v>20251231</v>
      </c>
      <c r="E789">
        <v>0</v>
      </c>
      <c r="F789" t="s">
        <v>538</v>
      </c>
      <c r="G789" t="s">
        <v>539</v>
      </c>
      <c r="H789" t="s">
        <v>539</v>
      </c>
      <c r="I789">
        <v>333968000</v>
      </c>
    </row>
    <row r="790" spans="1:9" x14ac:dyDescent="0.25">
      <c r="A790" t="s">
        <v>150</v>
      </c>
      <c r="B790" t="s">
        <v>543</v>
      </c>
      <c r="C790" t="s">
        <v>537</v>
      </c>
      <c r="D790">
        <v>20251231</v>
      </c>
      <c r="E790">
        <v>4</v>
      </c>
      <c r="F790" t="s">
        <v>538</v>
      </c>
      <c r="G790" t="s">
        <v>539</v>
      </c>
      <c r="H790" t="s">
        <v>539</v>
      </c>
      <c r="I790">
        <v>37196198</v>
      </c>
    </row>
    <row r="791" spans="1:9" x14ac:dyDescent="0.25">
      <c r="A791" t="s">
        <v>48</v>
      </c>
      <c r="B791" t="s">
        <v>542</v>
      </c>
      <c r="C791" t="s">
        <v>537</v>
      </c>
      <c r="D791">
        <v>20251231</v>
      </c>
      <c r="E791">
        <v>4</v>
      </c>
      <c r="F791" t="s">
        <v>538</v>
      </c>
      <c r="G791" t="s">
        <v>539</v>
      </c>
      <c r="H791" t="s">
        <v>539</v>
      </c>
      <c r="I791">
        <v>-4.55</v>
      </c>
    </row>
    <row r="792" spans="1:9" x14ac:dyDescent="0.25">
      <c r="A792" t="s">
        <v>474</v>
      </c>
      <c r="B792" t="s">
        <v>542</v>
      </c>
      <c r="C792" t="s">
        <v>537</v>
      </c>
      <c r="D792">
        <v>20251231</v>
      </c>
      <c r="E792">
        <v>4</v>
      </c>
      <c r="F792" t="s">
        <v>538</v>
      </c>
      <c r="G792" t="s">
        <v>539</v>
      </c>
      <c r="H792" t="s">
        <v>539</v>
      </c>
      <c r="I792">
        <v>2.31</v>
      </c>
    </row>
    <row r="793" spans="1:9" x14ac:dyDescent="0.25">
      <c r="A793" t="s">
        <v>140</v>
      </c>
      <c r="B793" t="s">
        <v>540</v>
      </c>
      <c r="C793" t="s">
        <v>537</v>
      </c>
      <c r="D793">
        <v>20251231</v>
      </c>
      <c r="E793">
        <v>0</v>
      </c>
      <c r="F793" t="s">
        <v>538</v>
      </c>
      <c r="G793" t="s">
        <v>539</v>
      </c>
      <c r="H793" t="s">
        <v>539</v>
      </c>
      <c r="I793">
        <v>1824506000</v>
      </c>
    </row>
    <row r="794" spans="1:9" x14ac:dyDescent="0.25">
      <c r="A794" t="s">
        <v>140</v>
      </c>
      <c r="B794" t="s">
        <v>536</v>
      </c>
      <c r="C794" t="s">
        <v>537</v>
      </c>
      <c r="D794">
        <v>20251231</v>
      </c>
      <c r="E794">
        <v>0</v>
      </c>
      <c r="F794" t="s">
        <v>538</v>
      </c>
      <c r="G794" t="s">
        <v>539</v>
      </c>
      <c r="H794" t="s">
        <v>539</v>
      </c>
      <c r="I794">
        <v>1639598000</v>
      </c>
    </row>
    <row r="795" spans="1:9" x14ac:dyDescent="0.25">
      <c r="A795" t="s">
        <v>140</v>
      </c>
      <c r="B795" t="s">
        <v>543</v>
      </c>
      <c r="C795" t="s">
        <v>537</v>
      </c>
      <c r="D795">
        <v>20251231</v>
      </c>
      <c r="E795">
        <v>4</v>
      </c>
      <c r="F795" t="s">
        <v>538</v>
      </c>
      <c r="G795" t="s">
        <v>539</v>
      </c>
      <c r="H795" t="s">
        <v>539</v>
      </c>
      <c r="I795">
        <v>15826000</v>
      </c>
    </row>
    <row r="796" spans="1:9" x14ac:dyDescent="0.25">
      <c r="A796" t="s">
        <v>142</v>
      </c>
      <c r="B796" t="s">
        <v>541</v>
      </c>
      <c r="C796" t="s">
        <v>537</v>
      </c>
      <c r="D796">
        <v>20251231</v>
      </c>
      <c r="E796">
        <v>4</v>
      </c>
      <c r="F796" t="s">
        <v>538</v>
      </c>
      <c r="G796" t="s">
        <v>539</v>
      </c>
      <c r="H796" t="s">
        <v>539</v>
      </c>
      <c r="I796">
        <v>77246000</v>
      </c>
    </row>
    <row r="797" spans="1:9" x14ac:dyDescent="0.25">
      <c r="A797" t="s">
        <v>472</v>
      </c>
      <c r="B797" t="s">
        <v>543</v>
      </c>
      <c r="C797" t="s">
        <v>537</v>
      </c>
      <c r="D797">
        <v>20251231</v>
      </c>
      <c r="E797">
        <v>4</v>
      </c>
      <c r="F797" t="s">
        <v>538</v>
      </c>
      <c r="G797" t="s">
        <v>539</v>
      </c>
      <c r="H797" t="s">
        <v>539</v>
      </c>
      <c r="I797">
        <v>30366000</v>
      </c>
    </row>
    <row r="798" spans="1:9" x14ac:dyDescent="0.25">
      <c r="A798" t="s">
        <v>400</v>
      </c>
      <c r="B798" t="s">
        <v>544</v>
      </c>
      <c r="C798" t="s">
        <v>537</v>
      </c>
      <c r="D798">
        <v>20251231</v>
      </c>
      <c r="E798">
        <v>0</v>
      </c>
      <c r="F798" t="s">
        <v>538</v>
      </c>
      <c r="G798" t="s">
        <v>539</v>
      </c>
      <c r="H798" t="s">
        <v>539</v>
      </c>
      <c r="I798">
        <v>8899202000</v>
      </c>
    </row>
    <row r="799" spans="1:9" x14ac:dyDescent="0.25">
      <c r="A799" t="s">
        <v>50</v>
      </c>
      <c r="B799" t="s">
        <v>541</v>
      </c>
      <c r="C799" t="s">
        <v>537</v>
      </c>
      <c r="D799">
        <v>20251231</v>
      </c>
      <c r="E799">
        <v>4</v>
      </c>
      <c r="F799" t="s">
        <v>538</v>
      </c>
      <c r="G799" t="s">
        <v>539</v>
      </c>
      <c r="H799" t="s">
        <v>539</v>
      </c>
      <c r="I799">
        <v>149886000</v>
      </c>
    </row>
    <row r="800" spans="1:9" x14ac:dyDescent="0.25">
      <c r="A800" t="s">
        <v>144</v>
      </c>
      <c r="B800" t="s">
        <v>542</v>
      </c>
      <c r="C800" t="s">
        <v>537</v>
      </c>
      <c r="D800">
        <v>20251231</v>
      </c>
      <c r="E800">
        <v>4</v>
      </c>
      <c r="F800" t="s">
        <v>538</v>
      </c>
      <c r="G800" t="s">
        <v>539</v>
      </c>
      <c r="H800" t="s">
        <v>539</v>
      </c>
      <c r="I800">
        <v>1.46</v>
      </c>
    </row>
    <row r="801" spans="1:9" x14ac:dyDescent="0.25">
      <c r="A801" t="s">
        <v>144</v>
      </c>
      <c r="B801" t="s">
        <v>536</v>
      </c>
      <c r="C801" t="s">
        <v>537</v>
      </c>
      <c r="D801">
        <v>20251231</v>
      </c>
      <c r="E801">
        <v>0</v>
      </c>
      <c r="F801" t="s">
        <v>538</v>
      </c>
      <c r="G801" t="s">
        <v>539</v>
      </c>
      <c r="H801" t="s">
        <v>539</v>
      </c>
      <c r="I801">
        <v>1193736000</v>
      </c>
    </row>
    <row r="802" spans="1:9" x14ac:dyDescent="0.25">
      <c r="A802" t="s">
        <v>148</v>
      </c>
      <c r="B802" t="s">
        <v>545</v>
      </c>
      <c r="C802" t="s">
        <v>537</v>
      </c>
      <c r="D802">
        <v>20251231</v>
      </c>
      <c r="E802">
        <v>4</v>
      </c>
      <c r="F802" t="s">
        <v>538</v>
      </c>
      <c r="G802" t="s">
        <v>539</v>
      </c>
      <c r="H802" t="s">
        <v>539</v>
      </c>
      <c r="I802">
        <v>73920000</v>
      </c>
    </row>
    <row r="803" spans="1:9" x14ac:dyDescent="0.25">
      <c r="A803" t="s">
        <v>146</v>
      </c>
      <c r="B803" t="s">
        <v>536</v>
      </c>
      <c r="C803" t="s">
        <v>537</v>
      </c>
      <c r="D803">
        <v>20251231</v>
      </c>
      <c r="E803">
        <v>0</v>
      </c>
      <c r="F803" t="s">
        <v>538</v>
      </c>
      <c r="G803" t="s">
        <v>539</v>
      </c>
      <c r="H803" t="s">
        <v>539</v>
      </c>
      <c r="I803">
        <v>1304185000</v>
      </c>
    </row>
    <row r="804" spans="1:9" x14ac:dyDescent="0.25">
      <c r="A804" t="s">
        <v>146</v>
      </c>
      <c r="B804" t="s">
        <v>544</v>
      </c>
      <c r="C804" t="s">
        <v>537</v>
      </c>
      <c r="D804">
        <v>20251231</v>
      </c>
      <c r="E804">
        <v>0</v>
      </c>
      <c r="F804" t="s">
        <v>538</v>
      </c>
      <c r="G804" t="s">
        <v>539</v>
      </c>
      <c r="H804" t="s">
        <v>539</v>
      </c>
      <c r="I804">
        <v>122451000</v>
      </c>
    </row>
    <row r="805" spans="1:9" x14ac:dyDescent="0.25">
      <c r="A805" t="s">
        <v>108</v>
      </c>
      <c r="B805" t="s">
        <v>542</v>
      </c>
      <c r="C805" t="s">
        <v>537</v>
      </c>
      <c r="D805">
        <v>20251231</v>
      </c>
      <c r="E805">
        <v>4</v>
      </c>
      <c r="F805" t="s">
        <v>538</v>
      </c>
      <c r="G805" t="s">
        <v>539</v>
      </c>
      <c r="H805" t="s">
        <v>539</v>
      </c>
      <c r="I805">
        <v>1.49</v>
      </c>
    </row>
    <row r="806" spans="1:9" x14ac:dyDescent="0.25">
      <c r="A806" t="s">
        <v>152</v>
      </c>
      <c r="B806" t="s">
        <v>540</v>
      </c>
      <c r="C806" t="s">
        <v>537</v>
      </c>
      <c r="D806">
        <v>20251231</v>
      </c>
      <c r="E806">
        <v>0</v>
      </c>
      <c r="F806" t="s">
        <v>538</v>
      </c>
      <c r="G806" t="s">
        <v>539</v>
      </c>
      <c r="H806" t="s">
        <v>539</v>
      </c>
      <c r="I806">
        <v>1039024000</v>
      </c>
    </row>
    <row r="807" spans="1:9" x14ac:dyDescent="0.25">
      <c r="A807" t="s">
        <v>152</v>
      </c>
      <c r="B807" t="s">
        <v>543</v>
      </c>
      <c r="C807" t="s">
        <v>537</v>
      </c>
      <c r="D807">
        <v>20251231</v>
      </c>
      <c r="E807">
        <v>4</v>
      </c>
      <c r="F807" t="s">
        <v>538</v>
      </c>
      <c r="G807" t="s">
        <v>539</v>
      </c>
      <c r="H807" t="s">
        <v>539</v>
      </c>
      <c r="I807">
        <v>9022000</v>
      </c>
    </row>
    <row r="808" spans="1:9" x14ac:dyDescent="0.25">
      <c r="A808" t="s">
        <v>478</v>
      </c>
      <c r="B808" t="s">
        <v>536</v>
      </c>
      <c r="C808" t="s">
        <v>537</v>
      </c>
      <c r="D808">
        <v>20251231</v>
      </c>
      <c r="E808">
        <v>0</v>
      </c>
      <c r="F808" t="s">
        <v>538</v>
      </c>
      <c r="G808" t="s">
        <v>539</v>
      </c>
      <c r="H808" t="s">
        <v>539</v>
      </c>
      <c r="I808">
        <v>18585008000</v>
      </c>
    </row>
    <row r="809" spans="1:9" x14ac:dyDescent="0.25">
      <c r="A809" t="s">
        <v>154</v>
      </c>
      <c r="B809" t="s">
        <v>541</v>
      </c>
      <c r="C809" t="s">
        <v>537</v>
      </c>
      <c r="D809">
        <v>20251231</v>
      </c>
      <c r="E809">
        <v>4</v>
      </c>
      <c r="F809" t="s">
        <v>538</v>
      </c>
      <c r="G809" t="s">
        <v>539</v>
      </c>
      <c r="H809" t="s">
        <v>539</v>
      </c>
      <c r="I809">
        <v>175323000</v>
      </c>
    </row>
    <row r="810" spans="1:9" x14ac:dyDescent="0.25">
      <c r="A810" t="s">
        <v>150</v>
      </c>
      <c r="B810" t="s">
        <v>542</v>
      </c>
      <c r="C810" t="s">
        <v>537</v>
      </c>
      <c r="D810">
        <v>20251231</v>
      </c>
      <c r="E810">
        <v>4</v>
      </c>
      <c r="F810" t="s">
        <v>538</v>
      </c>
      <c r="G810" t="s">
        <v>539</v>
      </c>
      <c r="H810" t="s">
        <v>539</v>
      </c>
      <c r="I810">
        <v>2.95</v>
      </c>
    </row>
    <row r="811" spans="1:9" x14ac:dyDescent="0.25">
      <c r="A811" t="s">
        <v>150</v>
      </c>
      <c r="B811" t="s">
        <v>536</v>
      </c>
      <c r="C811" t="s">
        <v>537</v>
      </c>
      <c r="D811">
        <v>20251231</v>
      </c>
      <c r="E811">
        <v>0</v>
      </c>
      <c r="F811" t="s">
        <v>538</v>
      </c>
      <c r="G811" t="s">
        <v>539</v>
      </c>
      <c r="H811" t="s">
        <v>539</v>
      </c>
      <c r="I811">
        <v>2006111149</v>
      </c>
    </row>
    <row r="812" spans="1:9" x14ac:dyDescent="0.25">
      <c r="A812" t="s">
        <v>156</v>
      </c>
      <c r="B812" t="s">
        <v>540</v>
      </c>
      <c r="C812" t="s">
        <v>537</v>
      </c>
      <c r="D812">
        <v>20251231</v>
      </c>
      <c r="E812">
        <v>0</v>
      </c>
      <c r="F812" t="s">
        <v>538</v>
      </c>
      <c r="G812" t="s">
        <v>539</v>
      </c>
      <c r="H812" t="s">
        <v>539</v>
      </c>
      <c r="I812">
        <v>7022825000</v>
      </c>
    </row>
    <row r="813" spans="1:9" x14ac:dyDescent="0.25">
      <c r="A813" t="s">
        <v>156</v>
      </c>
      <c r="B813" t="s">
        <v>543</v>
      </c>
      <c r="C813" t="s">
        <v>537</v>
      </c>
      <c r="D813">
        <v>20251231</v>
      </c>
      <c r="E813">
        <v>4</v>
      </c>
      <c r="F813" t="s">
        <v>538</v>
      </c>
      <c r="G813" t="s">
        <v>539</v>
      </c>
      <c r="H813" t="s">
        <v>539</v>
      </c>
      <c r="I813">
        <v>83409000</v>
      </c>
    </row>
    <row r="814" spans="1:9" x14ac:dyDescent="0.25">
      <c r="A814" t="s">
        <v>148</v>
      </c>
      <c r="B814" t="s">
        <v>544</v>
      </c>
      <c r="C814" t="s">
        <v>537</v>
      </c>
      <c r="D814">
        <v>20251231</v>
      </c>
      <c r="E814">
        <v>0</v>
      </c>
      <c r="F814" t="s">
        <v>538</v>
      </c>
      <c r="G814" t="s">
        <v>539</v>
      </c>
      <c r="H814" t="s">
        <v>539</v>
      </c>
      <c r="I814">
        <v>141236000</v>
      </c>
    </row>
    <row r="815" spans="1:9" x14ac:dyDescent="0.25">
      <c r="A815" t="s">
        <v>404</v>
      </c>
      <c r="B815" t="s">
        <v>536</v>
      </c>
      <c r="C815" t="s">
        <v>537</v>
      </c>
      <c r="D815">
        <v>20251231</v>
      </c>
      <c r="E815">
        <v>0</v>
      </c>
      <c r="F815" t="s">
        <v>538</v>
      </c>
      <c r="G815" t="s">
        <v>539</v>
      </c>
      <c r="H815" t="s">
        <v>539</v>
      </c>
      <c r="I815">
        <v>13647388000</v>
      </c>
    </row>
    <row r="816" spans="1:9" x14ac:dyDescent="0.25">
      <c r="A816" t="s">
        <v>110</v>
      </c>
      <c r="B816" t="s">
        <v>540</v>
      </c>
      <c r="C816" t="s">
        <v>537</v>
      </c>
      <c r="D816">
        <v>20251231</v>
      </c>
      <c r="E816">
        <v>0</v>
      </c>
      <c r="F816" t="s">
        <v>538</v>
      </c>
      <c r="G816" t="s">
        <v>539</v>
      </c>
      <c r="H816" t="s">
        <v>539</v>
      </c>
      <c r="I816">
        <v>6373172000</v>
      </c>
    </row>
    <row r="817" spans="1:9" x14ac:dyDescent="0.25">
      <c r="A817" t="s">
        <v>112</v>
      </c>
      <c r="B817" t="s">
        <v>540</v>
      </c>
      <c r="C817" t="s">
        <v>537</v>
      </c>
      <c r="D817">
        <v>20251231</v>
      </c>
      <c r="E817">
        <v>0</v>
      </c>
      <c r="F817" t="s">
        <v>538</v>
      </c>
      <c r="G817" t="s">
        <v>539</v>
      </c>
      <c r="H817" t="s">
        <v>539</v>
      </c>
      <c r="I817">
        <v>4336453000</v>
      </c>
    </row>
    <row r="818" spans="1:9" x14ac:dyDescent="0.25">
      <c r="A818" t="s">
        <v>112</v>
      </c>
      <c r="B818" t="s">
        <v>542</v>
      </c>
      <c r="C818" t="s">
        <v>537</v>
      </c>
      <c r="D818">
        <v>20251231</v>
      </c>
      <c r="E818">
        <v>4</v>
      </c>
      <c r="F818" t="s">
        <v>538</v>
      </c>
      <c r="G818" t="s">
        <v>539</v>
      </c>
      <c r="H818" t="s">
        <v>539</v>
      </c>
      <c r="I818">
        <v>2.64</v>
      </c>
    </row>
    <row r="819" spans="1:9" x14ac:dyDescent="0.25">
      <c r="A819" t="s">
        <v>112</v>
      </c>
      <c r="B819" t="s">
        <v>536</v>
      </c>
      <c r="C819" t="s">
        <v>537</v>
      </c>
      <c r="D819">
        <v>20251231</v>
      </c>
      <c r="E819">
        <v>0</v>
      </c>
      <c r="F819" t="s">
        <v>538</v>
      </c>
      <c r="G819" t="s">
        <v>539</v>
      </c>
      <c r="H819" t="s">
        <v>539</v>
      </c>
      <c r="I819">
        <v>3792979000</v>
      </c>
    </row>
    <row r="820" spans="1:9" x14ac:dyDescent="0.25">
      <c r="A820" t="s">
        <v>112</v>
      </c>
      <c r="B820" t="s">
        <v>543</v>
      </c>
      <c r="C820" t="s">
        <v>537</v>
      </c>
      <c r="D820">
        <v>20251231</v>
      </c>
      <c r="E820">
        <v>4</v>
      </c>
      <c r="F820" t="s">
        <v>538</v>
      </c>
      <c r="G820" t="s">
        <v>539</v>
      </c>
      <c r="H820" t="s">
        <v>539</v>
      </c>
      <c r="I820">
        <v>46212000</v>
      </c>
    </row>
    <row r="821" spans="1:9" x14ac:dyDescent="0.25">
      <c r="A821" t="s">
        <v>406</v>
      </c>
      <c r="B821" t="s">
        <v>541</v>
      </c>
      <c r="C821" t="s">
        <v>537</v>
      </c>
      <c r="D821">
        <v>20251231</v>
      </c>
      <c r="E821">
        <v>4</v>
      </c>
      <c r="F821" t="s">
        <v>538</v>
      </c>
      <c r="G821" t="s">
        <v>539</v>
      </c>
      <c r="H821" t="s">
        <v>539</v>
      </c>
      <c r="I821">
        <v>3379498000</v>
      </c>
    </row>
    <row r="822" spans="1:9" x14ac:dyDescent="0.25">
      <c r="A822" t="s">
        <v>408</v>
      </c>
      <c r="B822" t="s">
        <v>543</v>
      </c>
      <c r="C822" t="s">
        <v>537</v>
      </c>
      <c r="D822">
        <v>20251231</v>
      </c>
      <c r="E822">
        <v>4</v>
      </c>
      <c r="F822" t="s">
        <v>538</v>
      </c>
      <c r="G822" t="s">
        <v>539</v>
      </c>
      <c r="H822" t="s">
        <v>539</v>
      </c>
      <c r="I822">
        <v>71098000</v>
      </c>
    </row>
    <row r="823" spans="1:9" x14ac:dyDescent="0.25">
      <c r="A823" t="s">
        <v>114</v>
      </c>
      <c r="B823" t="s">
        <v>540</v>
      </c>
      <c r="C823" t="s">
        <v>537</v>
      </c>
      <c r="D823">
        <v>20251231</v>
      </c>
      <c r="E823">
        <v>0</v>
      </c>
      <c r="F823" t="s">
        <v>538</v>
      </c>
      <c r="G823" t="s">
        <v>539</v>
      </c>
      <c r="H823" t="s">
        <v>539</v>
      </c>
      <c r="I823">
        <v>8078448000</v>
      </c>
    </row>
    <row r="824" spans="1:9" x14ac:dyDescent="0.25">
      <c r="A824" t="s">
        <v>114</v>
      </c>
      <c r="B824" t="s">
        <v>544</v>
      </c>
      <c r="C824" t="s">
        <v>537</v>
      </c>
      <c r="D824">
        <v>20251231</v>
      </c>
      <c r="E824">
        <v>0</v>
      </c>
      <c r="F824" t="s">
        <v>538</v>
      </c>
      <c r="G824" t="s">
        <v>539</v>
      </c>
      <c r="H824" t="s">
        <v>539</v>
      </c>
      <c r="I824">
        <v>746701000</v>
      </c>
    </row>
    <row r="825" spans="1:9" x14ac:dyDescent="0.25">
      <c r="A825" t="s">
        <v>116</v>
      </c>
      <c r="B825" t="s">
        <v>542</v>
      </c>
      <c r="C825" t="s">
        <v>537</v>
      </c>
      <c r="D825">
        <v>20251231</v>
      </c>
      <c r="E825">
        <v>4</v>
      </c>
      <c r="F825" t="s">
        <v>538</v>
      </c>
      <c r="G825" t="s">
        <v>539</v>
      </c>
      <c r="H825" t="s">
        <v>539</v>
      </c>
      <c r="I825">
        <v>3.65</v>
      </c>
    </row>
    <row r="826" spans="1:9" x14ac:dyDescent="0.25">
      <c r="A826" t="s">
        <v>116</v>
      </c>
      <c r="B826" t="s">
        <v>541</v>
      </c>
      <c r="C826" t="s">
        <v>537</v>
      </c>
      <c r="D826">
        <v>20251231</v>
      </c>
      <c r="E826">
        <v>4</v>
      </c>
      <c r="F826" t="s">
        <v>538</v>
      </c>
      <c r="G826" t="s">
        <v>539</v>
      </c>
      <c r="H826" t="s">
        <v>539</v>
      </c>
      <c r="I826">
        <v>332989000</v>
      </c>
    </row>
    <row r="827" spans="1:9" x14ac:dyDescent="0.25">
      <c r="A827" t="s">
        <v>410</v>
      </c>
      <c r="B827" t="s">
        <v>536</v>
      </c>
      <c r="C827" t="s">
        <v>537</v>
      </c>
      <c r="D827">
        <v>20251231</v>
      </c>
      <c r="E827">
        <v>0</v>
      </c>
      <c r="F827" t="s">
        <v>538</v>
      </c>
      <c r="G827" t="s">
        <v>539</v>
      </c>
      <c r="H827" t="s">
        <v>539</v>
      </c>
      <c r="I827">
        <v>8498404000</v>
      </c>
    </row>
    <row r="828" spans="1:9" x14ac:dyDescent="0.25">
      <c r="A828" t="s">
        <v>118</v>
      </c>
      <c r="B828" t="s">
        <v>540</v>
      </c>
      <c r="C828" t="s">
        <v>537</v>
      </c>
      <c r="D828">
        <v>20251231</v>
      </c>
      <c r="E828">
        <v>0</v>
      </c>
      <c r="F828" t="s">
        <v>538</v>
      </c>
      <c r="G828" t="s">
        <v>539</v>
      </c>
      <c r="H828" t="s">
        <v>539</v>
      </c>
      <c r="I828">
        <v>3787385000</v>
      </c>
    </row>
    <row r="829" spans="1:9" x14ac:dyDescent="0.25">
      <c r="A829" t="s">
        <v>118</v>
      </c>
      <c r="B829" t="s">
        <v>543</v>
      </c>
      <c r="C829" t="s">
        <v>537</v>
      </c>
      <c r="D829">
        <v>20251231</v>
      </c>
      <c r="E829">
        <v>4</v>
      </c>
      <c r="F829" t="s">
        <v>538</v>
      </c>
      <c r="G829" t="s">
        <v>539</v>
      </c>
      <c r="H829" t="s">
        <v>539</v>
      </c>
      <c r="I829">
        <v>42105000</v>
      </c>
    </row>
    <row r="830" spans="1:9" x14ac:dyDescent="0.25">
      <c r="A830" t="s">
        <v>476</v>
      </c>
      <c r="B830" t="s">
        <v>544</v>
      </c>
      <c r="C830" t="s">
        <v>537</v>
      </c>
      <c r="D830">
        <v>20251231</v>
      </c>
      <c r="E830">
        <v>0</v>
      </c>
      <c r="F830" t="s">
        <v>538</v>
      </c>
      <c r="G830" t="s">
        <v>539</v>
      </c>
      <c r="H830" t="s">
        <v>539</v>
      </c>
      <c r="I830">
        <v>689796000</v>
      </c>
    </row>
    <row r="831" spans="1:9" x14ac:dyDescent="0.25">
      <c r="A831" t="s">
        <v>412</v>
      </c>
      <c r="B831" t="s">
        <v>544</v>
      </c>
      <c r="C831" t="s">
        <v>537</v>
      </c>
      <c r="D831">
        <v>20251231</v>
      </c>
      <c r="E831">
        <v>0</v>
      </c>
      <c r="F831" t="s">
        <v>538</v>
      </c>
      <c r="G831" t="s">
        <v>539</v>
      </c>
      <c r="H831" t="s">
        <v>539</v>
      </c>
      <c r="I831">
        <v>517095000</v>
      </c>
    </row>
    <row r="832" spans="1:9" x14ac:dyDescent="0.25">
      <c r="A832" t="s">
        <v>158</v>
      </c>
      <c r="B832" t="s">
        <v>540</v>
      </c>
      <c r="C832" t="s">
        <v>537</v>
      </c>
      <c r="D832">
        <v>20251231</v>
      </c>
      <c r="E832">
        <v>0</v>
      </c>
      <c r="F832" t="s">
        <v>538</v>
      </c>
      <c r="G832" t="s">
        <v>539</v>
      </c>
      <c r="H832" t="s">
        <v>539</v>
      </c>
      <c r="I832">
        <v>3904778000</v>
      </c>
    </row>
    <row r="833" spans="1:9" x14ac:dyDescent="0.25">
      <c r="A833" t="s">
        <v>158</v>
      </c>
      <c r="B833" t="s">
        <v>542</v>
      </c>
      <c r="C833" t="s">
        <v>537</v>
      </c>
      <c r="D833">
        <v>20251231</v>
      </c>
      <c r="E833">
        <v>4</v>
      </c>
      <c r="F833" t="s">
        <v>538</v>
      </c>
      <c r="G833" t="s">
        <v>539</v>
      </c>
      <c r="H833" t="s">
        <v>539</v>
      </c>
      <c r="I833">
        <v>-2.2400000000000002</v>
      </c>
    </row>
    <row r="834" spans="1:9" x14ac:dyDescent="0.25">
      <c r="A834" t="s">
        <v>158</v>
      </c>
      <c r="B834" t="s">
        <v>545</v>
      </c>
      <c r="C834" t="s">
        <v>537</v>
      </c>
      <c r="D834">
        <v>20251231</v>
      </c>
      <c r="E834">
        <v>4</v>
      </c>
      <c r="F834" t="s">
        <v>538</v>
      </c>
      <c r="G834" t="s">
        <v>539</v>
      </c>
      <c r="H834" t="s">
        <v>539</v>
      </c>
      <c r="I834">
        <v>38467000</v>
      </c>
    </row>
    <row r="835" spans="1:9" x14ac:dyDescent="0.25">
      <c r="A835" t="s">
        <v>416</v>
      </c>
      <c r="B835" t="s">
        <v>540</v>
      </c>
      <c r="C835" t="s">
        <v>537</v>
      </c>
      <c r="D835">
        <v>20251231</v>
      </c>
      <c r="E835">
        <v>0</v>
      </c>
      <c r="F835" t="s">
        <v>538</v>
      </c>
      <c r="G835" t="s">
        <v>539</v>
      </c>
      <c r="H835" t="s">
        <v>539</v>
      </c>
      <c r="I835">
        <v>16576335000</v>
      </c>
    </row>
    <row r="836" spans="1:9" x14ac:dyDescent="0.25">
      <c r="A836" t="s">
        <v>416</v>
      </c>
      <c r="B836" t="s">
        <v>542</v>
      </c>
      <c r="C836" t="s">
        <v>537</v>
      </c>
      <c r="D836">
        <v>20251231</v>
      </c>
      <c r="E836">
        <v>4</v>
      </c>
      <c r="F836" t="s">
        <v>538</v>
      </c>
      <c r="G836" t="s">
        <v>539</v>
      </c>
      <c r="H836" t="s">
        <v>539</v>
      </c>
      <c r="I836">
        <v>6.63</v>
      </c>
    </row>
    <row r="837" spans="1:9" x14ac:dyDescent="0.25">
      <c r="A837" t="s">
        <v>416</v>
      </c>
      <c r="B837" t="s">
        <v>536</v>
      </c>
      <c r="C837" t="s">
        <v>537</v>
      </c>
      <c r="D837">
        <v>20251231</v>
      </c>
      <c r="E837">
        <v>0</v>
      </c>
      <c r="F837" t="s">
        <v>538</v>
      </c>
      <c r="G837" t="s">
        <v>539</v>
      </c>
      <c r="H837" t="s">
        <v>539</v>
      </c>
      <c r="I837">
        <v>13324697000</v>
      </c>
    </row>
    <row r="838" spans="1:9" x14ac:dyDescent="0.25">
      <c r="A838" t="s">
        <v>416</v>
      </c>
      <c r="B838" t="s">
        <v>544</v>
      </c>
      <c r="C838" t="s">
        <v>537</v>
      </c>
      <c r="D838">
        <v>20251231</v>
      </c>
      <c r="E838">
        <v>0</v>
      </c>
      <c r="F838" t="s">
        <v>538</v>
      </c>
      <c r="G838" t="s">
        <v>539</v>
      </c>
      <c r="H838" t="s">
        <v>539</v>
      </c>
      <c r="I838">
        <v>3251638000</v>
      </c>
    </row>
    <row r="839" spans="1:9" x14ac:dyDescent="0.25">
      <c r="A839" t="s">
        <v>160</v>
      </c>
      <c r="B839" t="s">
        <v>541</v>
      </c>
      <c r="C839" t="s">
        <v>537</v>
      </c>
      <c r="D839">
        <v>20251231</v>
      </c>
      <c r="E839">
        <v>4</v>
      </c>
      <c r="F839" t="s">
        <v>538</v>
      </c>
      <c r="G839" t="s">
        <v>539</v>
      </c>
      <c r="H839" t="s">
        <v>539</v>
      </c>
      <c r="I839">
        <v>260871000</v>
      </c>
    </row>
    <row r="840" spans="1:9" x14ac:dyDescent="0.25">
      <c r="A840" t="s">
        <v>420</v>
      </c>
      <c r="B840" t="s">
        <v>536</v>
      </c>
      <c r="C840" t="s">
        <v>537</v>
      </c>
      <c r="D840">
        <v>20251231</v>
      </c>
      <c r="E840">
        <v>0</v>
      </c>
      <c r="F840" t="s">
        <v>538</v>
      </c>
      <c r="G840" t="s">
        <v>539</v>
      </c>
      <c r="H840" t="s">
        <v>539</v>
      </c>
      <c r="I840">
        <v>8463159000</v>
      </c>
    </row>
    <row r="841" spans="1:9" x14ac:dyDescent="0.25">
      <c r="A841" t="s">
        <v>424</v>
      </c>
      <c r="B841" t="s">
        <v>540</v>
      </c>
      <c r="C841" t="s">
        <v>537</v>
      </c>
      <c r="D841">
        <v>20251231</v>
      </c>
      <c r="E841">
        <v>0</v>
      </c>
      <c r="F841" t="s">
        <v>538</v>
      </c>
      <c r="G841" t="s">
        <v>539</v>
      </c>
      <c r="H841" t="s">
        <v>539</v>
      </c>
      <c r="I841">
        <v>19448943000</v>
      </c>
    </row>
    <row r="842" spans="1:9" x14ac:dyDescent="0.25">
      <c r="A842" t="s">
        <v>424</v>
      </c>
      <c r="B842" t="s">
        <v>542</v>
      </c>
      <c r="C842" t="s">
        <v>537</v>
      </c>
      <c r="D842">
        <v>20251231</v>
      </c>
      <c r="E842">
        <v>4</v>
      </c>
      <c r="F842" t="s">
        <v>538</v>
      </c>
      <c r="G842" t="s">
        <v>539</v>
      </c>
      <c r="H842" t="s">
        <v>539</v>
      </c>
      <c r="I842">
        <v>3.78</v>
      </c>
    </row>
    <row r="843" spans="1:9" x14ac:dyDescent="0.25">
      <c r="A843" t="s">
        <v>424</v>
      </c>
      <c r="B843" t="s">
        <v>536</v>
      </c>
      <c r="C843" t="s">
        <v>537</v>
      </c>
      <c r="D843">
        <v>20251231</v>
      </c>
      <c r="E843">
        <v>0</v>
      </c>
      <c r="F843" t="s">
        <v>538</v>
      </c>
      <c r="G843" t="s">
        <v>539</v>
      </c>
      <c r="H843" t="s">
        <v>539</v>
      </c>
      <c r="I843">
        <v>17168184000</v>
      </c>
    </row>
    <row r="844" spans="1:9" x14ac:dyDescent="0.25">
      <c r="A844" t="s">
        <v>426</v>
      </c>
      <c r="B844" t="s">
        <v>543</v>
      </c>
      <c r="C844" t="s">
        <v>537</v>
      </c>
      <c r="D844">
        <v>20251231</v>
      </c>
      <c r="E844">
        <v>4</v>
      </c>
      <c r="F844" t="s">
        <v>538</v>
      </c>
      <c r="G844" t="s">
        <v>539</v>
      </c>
      <c r="H844" t="s">
        <v>539</v>
      </c>
      <c r="I844">
        <v>71496000</v>
      </c>
    </row>
    <row r="845" spans="1:9" x14ac:dyDescent="0.25">
      <c r="A845" t="s">
        <v>120</v>
      </c>
      <c r="B845" t="s">
        <v>543</v>
      </c>
      <c r="C845" t="s">
        <v>537</v>
      </c>
      <c r="D845">
        <v>20251231</v>
      </c>
      <c r="E845">
        <v>4</v>
      </c>
      <c r="F845" t="s">
        <v>538</v>
      </c>
      <c r="G845" t="s">
        <v>539</v>
      </c>
      <c r="H845" t="s">
        <v>539</v>
      </c>
      <c r="I845">
        <v>5992000</v>
      </c>
    </row>
    <row r="846" spans="1:9" x14ac:dyDescent="0.25">
      <c r="A846" t="s">
        <v>152</v>
      </c>
      <c r="B846" t="s">
        <v>541</v>
      </c>
      <c r="C846" t="s">
        <v>537</v>
      </c>
      <c r="D846">
        <v>20251231</v>
      </c>
      <c r="E846">
        <v>4</v>
      </c>
      <c r="F846" t="s">
        <v>538</v>
      </c>
      <c r="G846" t="s">
        <v>539</v>
      </c>
      <c r="H846" t="s">
        <v>539</v>
      </c>
      <c r="I846">
        <v>46655000</v>
      </c>
    </row>
    <row r="847" spans="1:9" x14ac:dyDescent="0.25">
      <c r="A847" t="s">
        <v>428</v>
      </c>
      <c r="B847" t="s">
        <v>540</v>
      </c>
      <c r="C847" t="s">
        <v>537</v>
      </c>
      <c r="D847">
        <v>20251231</v>
      </c>
      <c r="E847">
        <v>0</v>
      </c>
      <c r="F847" t="s">
        <v>538</v>
      </c>
      <c r="G847" t="s">
        <v>539</v>
      </c>
      <c r="H847" t="s">
        <v>539</v>
      </c>
      <c r="I847">
        <v>17303296000</v>
      </c>
    </row>
    <row r="848" spans="1:9" x14ac:dyDescent="0.25">
      <c r="A848" t="s">
        <v>478</v>
      </c>
      <c r="B848" t="s">
        <v>541</v>
      </c>
      <c r="C848" t="s">
        <v>537</v>
      </c>
      <c r="D848">
        <v>20251231</v>
      </c>
      <c r="E848">
        <v>4</v>
      </c>
      <c r="F848" t="s">
        <v>538</v>
      </c>
      <c r="G848" t="s">
        <v>539</v>
      </c>
      <c r="H848" t="s">
        <v>539</v>
      </c>
      <c r="I848">
        <v>1278820000</v>
      </c>
    </row>
    <row r="849" spans="1:9" x14ac:dyDescent="0.25">
      <c r="A849" t="s">
        <v>474</v>
      </c>
      <c r="B849" t="s">
        <v>540</v>
      </c>
      <c r="C849" t="s">
        <v>537</v>
      </c>
      <c r="D849">
        <v>20251231</v>
      </c>
      <c r="E849">
        <v>0</v>
      </c>
      <c r="F849" t="s">
        <v>538</v>
      </c>
      <c r="G849" t="s">
        <v>539</v>
      </c>
      <c r="H849" t="s">
        <v>539</v>
      </c>
      <c r="I849">
        <v>158814000000</v>
      </c>
    </row>
    <row r="850" spans="1:9" x14ac:dyDescent="0.25">
      <c r="A850" t="s">
        <v>474</v>
      </c>
      <c r="B850" t="s">
        <v>541</v>
      </c>
      <c r="C850" t="s">
        <v>537</v>
      </c>
      <c r="D850">
        <v>20251231</v>
      </c>
      <c r="E850">
        <v>4</v>
      </c>
      <c r="F850" t="s">
        <v>538</v>
      </c>
      <c r="G850" t="s">
        <v>539</v>
      </c>
      <c r="H850" t="s">
        <v>539</v>
      </c>
      <c r="I850">
        <v>7073000000</v>
      </c>
    </row>
    <row r="851" spans="1:9" x14ac:dyDescent="0.25">
      <c r="A851" t="s">
        <v>474</v>
      </c>
      <c r="B851" t="s">
        <v>536</v>
      </c>
      <c r="C851" t="s">
        <v>537</v>
      </c>
      <c r="D851">
        <v>20251231</v>
      </c>
      <c r="E851">
        <v>0</v>
      </c>
      <c r="F851" t="s">
        <v>538</v>
      </c>
      <c r="G851" t="s">
        <v>539</v>
      </c>
      <c r="H851" t="s">
        <v>539</v>
      </c>
      <c r="I851">
        <v>139711000000</v>
      </c>
    </row>
    <row r="852" spans="1:9" x14ac:dyDescent="0.25">
      <c r="A852" t="s">
        <v>474</v>
      </c>
      <c r="B852" t="s">
        <v>544</v>
      </c>
      <c r="C852" t="s">
        <v>537</v>
      </c>
      <c r="D852">
        <v>20251231</v>
      </c>
      <c r="E852">
        <v>0</v>
      </c>
      <c r="F852" t="s">
        <v>538</v>
      </c>
      <c r="G852" t="s">
        <v>539</v>
      </c>
      <c r="H852" t="s">
        <v>539</v>
      </c>
      <c r="I852">
        <v>19043000000</v>
      </c>
    </row>
    <row r="853" spans="1:9" x14ac:dyDescent="0.25">
      <c r="A853" t="s">
        <v>52</v>
      </c>
      <c r="B853" t="s">
        <v>544</v>
      </c>
      <c r="C853" t="s">
        <v>537</v>
      </c>
      <c r="D853">
        <v>20251231</v>
      </c>
      <c r="E853">
        <v>0</v>
      </c>
      <c r="F853" t="s">
        <v>538</v>
      </c>
      <c r="G853" t="s">
        <v>539</v>
      </c>
      <c r="H853" t="s">
        <v>539</v>
      </c>
      <c r="I853">
        <v>1102293000</v>
      </c>
    </row>
    <row r="854" spans="1:9" x14ac:dyDescent="0.25">
      <c r="A854" t="s">
        <v>54</v>
      </c>
      <c r="B854" t="s">
        <v>540</v>
      </c>
      <c r="C854" t="s">
        <v>537</v>
      </c>
      <c r="D854">
        <v>20251231</v>
      </c>
      <c r="E854">
        <v>0</v>
      </c>
      <c r="F854" t="s">
        <v>538</v>
      </c>
      <c r="G854" t="s">
        <v>539</v>
      </c>
      <c r="H854" t="s">
        <v>539</v>
      </c>
      <c r="I854">
        <v>3132469000</v>
      </c>
    </row>
    <row r="855" spans="1:9" x14ac:dyDescent="0.25">
      <c r="A855" t="s">
        <v>54</v>
      </c>
      <c r="B855" t="s">
        <v>543</v>
      </c>
      <c r="C855" t="s">
        <v>537</v>
      </c>
      <c r="D855">
        <v>20251231</v>
      </c>
      <c r="E855">
        <v>4</v>
      </c>
      <c r="F855" t="s">
        <v>538</v>
      </c>
      <c r="G855" t="s">
        <v>539</v>
      </c>
      <c r="H855" t="s">
        <v>539</v>
      </c>
      <c r="I855">
        <v>23427000</v>
      </c>
    </row>
    <row r="856" spans="1:9" x14ac:dyDescent="0.25">
      <c r="A856" t="s">
        <v>58</v>
      </c>
      <c r="B856" t="s">
        <v>536</v>
      </c>
      <c r="C856" t="s">
        <v>537</v>
      </c>
      <c r="D856">
        <v>20251231</v>
      </c>
      <c r="E856">
        <v>0</v>
      </c>
      <c r="F856" t="s">
        <v>538</v>
      </c>
      <c r="G856" t="s">
        <v>539</v>
      </c>
      <c r="H856" t="s">
        <v>539</v>
      </c>
      <c r="I856">
        <v>4962480000</v>
      </c>
    </row>
    <row r="857" spans="1:9" x14ac:dyDescent="0.25">
      <c r="A857" t="s">
        <v>58</v>
      </c>
      <c r="B857" t="s">
        <v>543</v>
      </c>
      <c r="C857" t="s">
        <v>537</v>
      </c>
      <c r="D857">
        <v>20251231</v>
      </c>
      <c r="E857">
        <v>4</v>
      </c>
      <c r="F857" t="s">
        <v>538</v>
      </c>
      <c r="G857" t="s">
        <v>539</v>
      </c>
      <c r="H857" t="s">
        <v>539</v>
      </c>
      <c r="I857">
        <v>70973000</v>
      </c>
    </row>
    <row r="858" spans="1:9" x14ac:dyDescent="0.25">
      <c r="A858" t="s">
        <v>126</v>
      </c>
      <c r="B858" t="s">
        <v>541</v>
      </c>
      <c r="C858" t="s">
        <v>537</v>
      </c>
      <c r="D858">
        <v>20251231</v>
      </c>
      <c r="E858">
        <v>4</v>
      </c>
      <c r="F858" t="s">
        <v>538</v>
      </c>
      <c r="G858" t="s">
        <v>539</v>
      </c>
      <c r="H858" t="s">
        <v>539</v>
      </c>
      <c r="I858">
        <v>164589000</v>
      </c>
    </row>
    <row r="859" spans="1:9" x14ac:dyDescent="0.25">
      <c r="A859" t="s">
        <v>128</v>
      </c>
      <c r="B859" t="s">
        <v>541</v>
      </c>
      <c r="C859" t="s">
        <v>537</v>
      </c>
      <c r="D859">
        <v>20251231</v>
      </c>
      <c r="E859">
        <v>4</v>
      </c>
      <c r="F859" t="s">
        <v>538</v>
      </c>
      <c r="G859" t="s">
        <v>539</v>
      </c>
      <c r="H859" t="s">
        <v>539</v>
      </c>
      <c r="I859">
        <v>137773000</v>
      </c>
    </row>
    <row r="860" spans="1:9" x14ac:dyDescent="0.25">
      <c r="A860" t="s">
        <v>480</v>
      </c>
      <c r="B860" t="s">
        <v>542</v>
      </c>
      <c r="C860" t="s">
        <v>537</v>
      </c>
      <c r="D860">
        <v>20251231</v>
      </c>
      <c r="E860">
        <v>4</v>
      </c>
      <c r="F860" t="s">
        <v>538</v>
      </c>
      <c r="G860" t="s">
        <v>539</v>
      </c>
      <c r="H860" t="s">
        <v>539</v>
      </c>
      <c r="I860">
        <v>7.47</v>
      </c>
    </row>
    <row r="861" spans="1:9" x14ac:dyDescent="0.25">
      <c r="A861" t="s">
        <v>480</v>
      </c>
      <c r="B861" t="s">
        <v>544</v>
      </c>
      <c r="C861" t="s">
        <v>537</v>
      </c>
      <c r="D861">
        <v>20251231</v>
      </c>
      <c r="E861">
        <v>0</v>
      </c>
      <c r="F861" t="s">
        <v>538</v>
      </c>
      <c r="G861" t="s">
        <v>539</v>
      </c>
      <c r="H861" t="s">
        <v>539</v>
      </c>
      <c r="I861">
        <v>44313000000</v>
      </c>
    </row>
    <row r="862" spans="1:9" x14ac:dyDescent="0.25">
      <c r="A862" t="s">
        <v>484</v>
      </c>
      <c r="B862" t="s">
        <v>542</v>
      </c>
      <c r="C862" t="s">
        <v>537</v>
      </c>
      <c r="D862">
        <v>20251231</v>
      </c>
      <c r="E862">
        <v>4</v>
      </c>
      <c r="F862" t="s">
        <v>538</v>
      </c>
      <c r="G862" t="s">
        <v>539</v>
      </c>
      <c r="H862" t="s">
        <v>539</v>
      </c>
      <c r="I862">
        <v>4.7699999999999996</v>
      </c>
    </row>
    <row r="863" spans="1:9" x14ac:dyDescent="0.25">
      <c r="A863" t="s">
        <v>130</v>
      </c>
      <c r="B863" t="s">
        <v>543</v>
      </c>
      <c r="C863" t="s">
        <v>537</v>
      </c>
      <c r="D863">
        <v>20251231</v>
      </c>
      <c r="E863">
        <v>4</v>
      </c>
      <c r="F863" t="s">
        <v>538</v>
      </c>
      <c r="G863" t="s">
        <v>539</v>
      </c>
      <c r="H863" t="s">
        <v>539</v>
      </c>
      <c r="I863">
        <v>28176000</v>
      </c>
    </row>
    <row r="864" spans="1:9" x14ac:dyDescent="0.25">
      <c r="A864" t="s">
        <v>486</v>
      </c>
      <c r="B864" t="s">
        <v>540</v>
      </c>
      <c r="C864" t="s">
        <v>537</v>
      </c>
      <c r="D864">
        <v>20251231</v>
      </c>
      <c r="E864">
        <v>0</v>
      </c>
      <c r="F864" t="s">
        <v>538</v>
      </c>
      <c r="G864" t="s">
        <v>539</v>
      </c>
      <c r="H864" t="s">
        <v>539</v>
      </c>
      <c r="I864">
        <v>6835219000</v>
      </c>
    </row>
    <row r="865" spans="1:9" x14ac:dyDescent="0.25">
      <c r="A865" t="s">
        <v>486</v>
      </c>
      <c r="B865" t="s">
        <v>536</v>
      </c>
      <c r="C865" t="s">
        <v>537</v>
      </c>
      <c r="D865">
        <v>20251231</v>
      </c>
      <c r="E865">
        <v>0</v>
      </c>
      <c r="F865" t="s">
        <v>538</v>
      </c>
      <c r="G865" t="s">
        <v>539</v>
      </c>
      <c r="H865" t="s">
        <v>539</v>
      </c>
      <c r="I865">
        <v>6110335000</v>
      </c>
    </row>
    <row r="866" spans="1:9" x14ac:dyDescent="0.25">
      <c r="A866" t="s">
        <v>132</v>
      </c>
      <c r="B866" t="s">
        <v>541</v>
      </c>
      <c r="C866" t="s">
        <v>537</v>
      </c>
      <c r="D866">
        <v>20251231</v>
      </c>
      <c r="E866">
        <v>4</v>
      </c>
      <c r="F866" t="s">
        <v>538</v>
      </c>
      <c r="G866" t="s">
        <v>539</v>
      </c>
      <c r="H866" t="s">
        <v>539</v>
      </c>
      <c r="I866">
        <v>130552000</v>
      </c>
    </row>
    <row r="867" spans="1:9" x14ac:dyDescent="0.25">
      <c r="A867" t="s">
        <v>132</v>
      </c>
      <c r="B867" t="s">
        <v>536</v>
      </c>
      <c r="C867" t="s">
        <v>537</v>
      </c>
      <c r="D867">
        <v>20251231</v>
      </c>
      <c r="E867">
        <v>0</v>
      </c>
      <c r="F867" t="s">
        <v>538</v>
      </c>
      <c r="G867" t="s">
        <v>539</v>
      </c>
      <c r="H867" t="s">
        <v>539</v>
      </c>
      <c r="I867">
        <v>2014435000</v>
      </c>
    </row>
    <row r="868" spans="1:9" x14ac:dyDescent="0.25">
      <c r="A868" t="s">
        <v>62</v>
      </c>
      <c r="B868" t="s">
        <v>541</v>
      </c>
      <c r="C868" t="s">
        <v>537</v>
      </c>
      <c r="D868">
        <v>20251231</v>
      </c>
      <c r="E868">
        <v>4</v>
      </c>
      <c r="F868" t="s">
        <v>538</v>
      </c>
      <c r="G868" t="s">
        <v>539</v>
      </c>
      <c r="H868" t="s">
        <v>539</v>
      </c>
      <c r="I868">
        <v>209519000</v>
      </c>
    </row>
    <row r="869" spans="1:9" x14ac:dyDescent="0.25">
      <c r="A869" t="s">
        <v>62</v>
      </c>
      <c r="B869" t="s">
        <v>544</v>
      </c>
      <c r="C869" t="s">
        <v>537</v>
      </c>
      <c r="D869">
        <v>20251231</v>
      </c>
      <c r="E869">
        <v>0</v>
      </c>
      <c r="F869" t="s">
        <v>538</v>
      </c>
      <c r="G869" t="s">
        <v>539</v>
      </c>
      <c r="H869" t="s">
        <v>539</v>
      </c>
      <c r="I869">
        <v>532541000</v>
      </c>
    </row>
    <row r="870" spans="1:9" x14ac:dyDescent="0.25">
      <c r="A870" t="s">
        <v>64</v>
      </c>
      <c r="B870" t="s">
        <v>540</v>
      </c>
      <c r="C870" t="s">
        <v>537</v>
      </c>
      <c r="D870">
        <v>20251231</v>
      </c>
      <c r="E870">
        <v>0</v>
      </c>
      <c r="F870" t="s">
        <v>538</v>
      </c>
      <c r="G870" t="s">
        <v>539</v>
      </c>
      <c r="H870" t="s">
        <v>539</v>
      </c>
      <c r="I870">
        <v>2332550000</v>
      </c>
    </row>
    <row r="871" spans="1:9" x14ac:dyDescent="0.25">
      <c r="A871" t="s">
        <v>158</v>
      </c>
      <c r="B871" t="s">
        <v>536</v>
      </c>
      <c r="C871" t="s">
        <v>537</v>
      </c>
      <c r="D871">
        <v>20251231</v>
      </c>
      <c r="E871">
        <v>0</v>
      </c>
      <c r="F871" t="s">
        <v>538</v>
      </c>
      <c r="G871" t="s">
        <v>539</v>
      </c>
      <c r="H871" t="s">
        <v>539</v>
      </c>
      <c r="I871">
        <v>3510124000</v>
      </c>
    </row>
    <row r="872" spans="1:9" x14ac:dyDescent="0.25">
      <c r="A872" t="s">
        <v>152</v>
      </c>
      <c r="B872" t="s">
        <v>544</v>
      </c>
      <c r="C872" t="s">
        <v>537</v>
      </c>
      <c r="D872">
        <v>20251231</v>
      </c>
      <c r="E872">
        <v>0</v>
      </c>
      <c r="F872" t="s">
        <v>538</v>
      </c>
      <c r="G872" t="s">
        <v>539</v>
      </c>
      <c r="H872" t="s">
        <v>539</v>
      </c>
      <c r="I872">
        <v>80048000</v>
      </c>
    </row>
    <row r="873" spans="1:9" x14ac:dyDescent="0.25">
      <c r="A873" t="s">
        <v>154</v>
      </c>
      <c r="B873" t="s">
        <v>542</v>
      </c>
      <c r="C873" t="s">
        <v>537</v>
      </c>
      <c r="D873">
        <v>20251231</v>
      </c>
      <c r="E873">
        <v>4</v>
      </c>
      <c r="F873" t="s">
        <v>538</v>
      </c>
      <c r="G873" t="s">
        <v>539</v>
      </c>
      <c r="H873" t="s">
        <v>539</v>
      </c>
      <c r="I873">
        <v>2.11</v>
      </c>
    </row>
    <row r="874" spans="1:9" x14ac:dyDescent="0.25">
      <c r="A874" t="s">
        <v>154</v>
      </c>
      <c r="B874" t="s">
        <v>536</v>
      </c>
      <c r="C874" t="s">
        <v>537</v>
      </c>
      <c r="D874">
        <v>20251231</v>
      </c>
      <c r="E874">
        <v>0</v>
      </c>
      <c r="F874" t="s">
        <v>538</v>
      </c>
      <c r="G874" t="s">
        <v>539</v>
      </c>
      <c r="H874" t="s">
        <v>539</v>
      </c>
      <c r="I874">
        <v>2974950000</v>
      </c>
    </row>
    <row r="875" spans="1:9" x14ac:dyDescent="0.25">
      <c r="A875" t="s">
        <v>66</v>
      </c>
      <c r="B875" t="s">
        <v>544</v>
      </c>
      <c r="C875" t="s">
        <v>537</v>
      </c>
      <c r="D875">
        <v>20251231</v>
      </c>
      <c r="E875">
        <v>0</v>
      </c>
      <c r="F875" t="s">
        <v>538</v>
      </c>
      <c r="G875" t="s">
        <v>539</v>
      </c>
      <c r="H875" t="s">
        <v>539</v>
      </c>
      <c r="I875">
        <v>200266000</v>
      </c>
    </row>
    <row r="876" spans="1:9" x14ac:dyDescent="0.25">
      <c r="A876" t="s">
        <v>476</v>
      </c>
      <c r="B876" t="s">
        <v>541</v>
      </c>
      <c r="C876" t="s">
        <v>537</v>
      </c>
      <c r="D876">
        <v>20251231</v>
      </c>
      <c r="E876">
        <v>4</v>
      </c>
      <c r="F876" t="s">
        <v>538</v>
      </c>
      <c r="G876" t="s">
        <v>539</v>
      </c>
      <c r="H876" t="s">
        <v>539</v>
      </c>
      <c r="I876">
        <v>551369000</v>
      </c>
    </row>
    <row r="877" spans="1:9" x14ac:dyDescent="0.25">
      <c r="A877" t="s">
        <v>476</v>
      </c>
      <c r="B877" t="s">
        <v>543</v>
      </c>
      <c r="C877" t="s">
        <v>537</v>
      </c>
      <c r="D877">
        <v>20251231</v>
      </c>
      <c r="E877">
        <v>4</v>
      </c>
      <c r="F877" t="s">
        <v>538</v>
      </c>
      <c r="G877" t="s">
        <v>539</v>
      </c>
      <c r="H877" t="s">
        <v>539</v>
      </c>
      <c r="I877">
        <v>228213000</v>
      </c>
    </row>
    <row r="878" spans="1:9" x14ac:dyDescent="0.25">
      <c r="A878" t="s">
        <v>72</v>
      </c>
      <c r="B878" t="s">
        <v>541</v>
      </c>
      <c r="C878" t="s">
        <v>537</v>
      </c>
      <c r="D878">
        <v>20251231</v>
      </c>
      <c r="E878">
        <v>4</v>
      </c>
      <c r="F878" t="s">
        <v>538</v>
      </c>
      <c r="G878" t="s">
        <v>539</v>
      </c>
      <c r="H878" t="s">
        <v>539</v>
      </c>
      <c r="I878">
        <v>540989000</v>
      </c>
    </row>
    <row r="879" spans="1:9" x14ac:dyDescent="0.25">
      <c r="A879" t="s">
        <v>72</v>
      </c>
      <c r="B879" t="s">
        <v>543</v>
      </c>
      <c r="C879" t="s">
        <v>537</v>
      </c>
      <c r="D879">
        <v>20251231</v>
      </c>
      <c r="E879">
        <v>4</v>
      </c>
      <c r="F879" t="s">
        <v>538</v>
      </c>
      <c r="G879" t="s">
        <v>539</v>
      </c>
      <c r="H879" t="s">
        <v>539</v>
      </c>
      <c r="I879">
        <v>-155157000</v>
      </c>
    </row>
    <row r="880" spans="1:9" x14ac:dyDescent="0.25">
      <c r="A880" t="s">
        <v>166</v>
      </c>
      <c r="B880" t="s">
        <v>543</v>
      </c>
      <c r="C880" t="s">
        <v>537</v>
      </c>
      <c r="D880">
        <v>20251231</v>
      </c>
      <c r="E880">
        <v>4</v>
      </c>
      <c r="F880" t="s">
        <v>538</v>
      </c>
      <c r="G880" t="s">
        <v>539</v>
      </c>
      <c r="H880" t="s">
        <v>539</v>
      </c>
      <c r="I880">
        <v>17439000</v>
      </c>
    </row>
    <row r="881" spans="1:9" x14ac:dyDescent="0.25">
      <c r="A881" t="s">
        <v>172</v>
      </c>
      <c r="B881" t="s">
        <v>540</v>
      </c>
      <c r="C881" t="s">
        <v>537</v>
      </c>
      <c r="D881">
        <v>20251231</v>
      </c>
      <c r="E881">
        <v>0</v>
      </c>
      <c r="F881" t="s">
        <v>538</v>
      </c>
      <c r="G881" t="s">
        <v>539</v>
      </c>
      <c r="H881" t="s">
        <v>539</v>
      </c>
      <c r="I881">
        <v>2106367000</v>
      </c>
    </row>
    <row r="882" spans="1:9" x14ac:dyDescent="0.25">
      <c r="A882" t="s">
        <v>172</v>
      </c>
      <c r="B882" t="s">
        <v>536</v>
      </c>
      <c r="C882" t="s">
        <v>537</v>
      </c>
      <c r="D882">
        <v>20251231</v>
      </c>
      <c r="E882">
        <v>0</v>
      </c>
      <c r="F882" t="s">
        <v>538</v>
      </c>
      <c r="G882" t="s">
        <v>539</v>
      </c>
      <c r="H882" t="s">
        <v>539</v>
      </c>
      <c r="I882">
        <v>1914553000</v>
      </c>
    </row>
    <row r="883" spans="1:9" x14ac:dyDescent="0.25">
      <c r="A883" t="s">
        <v>172</v>
      </c>
      <c r="B883" t="s">
        <v>543</v>
      </c>
      <c r="C883" t="s">
        <v>537</v>
      </c>
      <c r="D883">
        <v>20251231</v>
      </c>
      <c r="E883">
        <v>4</v>
      </c>
      <c r="F883" t="s">
        <v>538</v>
      </c>
      <c r="G883" t="s">
        <v>539</v>
      </c>
      <c r="H883" t="s">
        <v>539</v>
      </c>
      <c r="I883">
        <v>14835000</v>
      </c>
    </row>
    <row r="884" spans="1:9" x14ac:dyDescent="0.25">
      <c r="A884" t="s">
        <v>178</v>
      </c>
      <c r="B884" t="s">
        <v>540</v>
      </c>
      <c r="C884" t="s">
        <v>537</v>
      </c>
      <c r="D884">
        <v>20251231</v>
      </c>
      <c r="E884">
        <v>0</v>
      </c>
      <c r="F884" t="s">
        <v>538</v>
      </c>
      <c r="G884" t="s">
        <v>539</v>
      </c>
      <c r="H884" t="s">
        <v>539</v>
      </c>
      <c r="I884">
        <v>2240769000</v>
      </c>
    </row>
    <row r="885" spans="1:9" x14ac:dyDescent="0.25">
      <c r="A885" t="s">
        <v>80</v>
      </c>
      <c r="B885" t="s">
        <v>544</v>
      </c>
      <c r="C885" t="s">
        <v>537</v>
      </c>
      <c r="D885">
        <v>20251231</v>
      </c>
      <c r="E885">
        <v>0</v>
      </c>
      <c r="F885" t="s">
        <v>538</v>
      </c>
      <c r="G885" t="s">
        <v>539</v>
      </c>
      <c r="H885" t="s">
        <v>539</v>
      </c>
      <c r="I885">
        <v>70515000</v>
      </c>
    </row>
    <row r="886" spans="1:9" x14ac:dyDescent="0.25">
      <c r="A886" t="s">
        <v>186</v>
      </c>
      <c r="B886" t="s">
        <v>536</v>
      </c>
      <c r="C886" t="s">
        <v>537</v>
      </c>
      <c r="D886">
        <v>20251231</v>
      </c>
      <c r="E886">
        <v>0</v>
      </c>
      <c r="F886" t="s">
        <v>538</v>
      </c>
      <c r="G886" t="s">
        <v>539</v>
      </c>
      <c r="H886" t="s">
        <v>539</v>
      </c>
      <c r="I886">
        <v>2531975000</v>
      </c>
    </row>
    <row r="887" spans="1:9" x14ac:dyDescent="0.25">
      <c r="A887" t="s">
        <v>84</v>
      </c>
      <c r="B887" t="s">
        <v>540</v>
      </c>
      <c r="C887" t="s">
        <v>537</v>
      </c>
      <c r="D887">
        <v>20251231</v>
      </c>
      <c r="E887">
        <v>0</v>
      </c>
      <c r="F887" t="s">
        <v>538</v>
      </c>
      <c r="G887" t="s">
        <v>539</v>
      </c>
      <c r="H887" t="s">
        <v>539</v>
      </c>
      <c r="I887">
        <v>895263000</v>
      </c>
    </row>
    <row r="888" spans="1:9" x14ac:dyDescent="0.25">
      <c r="A888" t="s">
        <v>190</v>
      </c>
      <c r="B888" t="s">
        <v>544</v>
      </c>
      <c r="C888" t="s">
        <v>537</v>
      </c>
      <c r="D888">
        <v>20251231</v>
      </c>
      <c r="E888">
        <v>0</v>
      </c>
      <c r="F888" t="s">
        <v>538</v>
      </c>
      <c r="G888" t="s">
        <v>539</v>
      </c>
      <c r="H888" t="s">
        <v>539</v>
      </c>
      <c r="I888">
        <v>107664000</v>
      </c>
    </row>
    <row r="889" spans="1:9" x14ac:dyDescent="0.25">
      <c r="A889" t="s">
        <v>192</v>
      </c>
      <c r="B889" t="s">
        <v>542</v>
      </c>
      <c r="C889" t="s">
        <v>537</v>
      </c>
      <c r="D889">
        <v>20251231</v>
      </c>
      <c r="E889">
        <v>4</v>
      </c>
      <c r="F889" t="s">
        <v>538</v>
      </c>
      <c r="G889" t="s">
        <v>539</v>
      </c>
      <c r="H889" t="s">
        <v>539</v>
      </c>
      <c r="I889">
        <v>3.8</v>
      </c>
    </row>
    <row r="890" spans="1:9" x14ac:dyDescent="0.25">
      <c r="A890" t="s">
        <v>196</v>
      </c>
      <c r="B890" t="s">
        <v>544</v>
      </c>
      <c r="C890" t="s">
        <v>537</v>
      </c>
      <c r="D890">
        <v>20251231</v>
      </c>
      <c r="E890">
        <v>0</v>
      </c>
      <c r="F890" t="s">
        <v>538</v>
      </c>
      <c r="G890" t="s">
        <v>539</v>
      </c>
      <c r="H890" t="s">
        <v>539</v>
      </c>
      <c r="I890">
        <v>207975000</v>
      </c>
    </row>
    <row r="891" spans="1:9" x14ac:dyDescent="0.25">
      <c r="A891" t="s">
        <v>198</v>
      </c>
      <c r="B891" t="s">
        <v>542</v>
      </c>
      <c r="C891" t="s">
        <v>537</v>
      </c>
      <c r="D891">
        <v>20251231</v>
      </c>
      <c r="E891">
        <v>4</v>
      </c>
      <c r="F891" t="s">
        <v>538</v>
      </c>
      <c r="G891" t="s">
        <v>539</v>
      </c>
      <c r="H891" t="s">
        <v>539</v>
      </c>
      <c r="I891">
        <v>9.15</v>
      </c>
    </row>
    <row r="892" spans="1:9" x14ac:dyDescent="0.25">
      <c r="A892" t="s">
        <v>198</v>
      </c>
      <c r="B892" t="s">
        <v>536</v>
      </c>
      <c r="C892" t="s">
        <v>537</v>
      </c>
      <c r="D892">
        <v>20251231</v>
      </c>
      <c r="E892">
        <v>0</v>
      </c>
      <c r="F892" t="s">
        <v>538</v>
      </c>
      <c r="G892" t="s">
        <v>539</v>
      </c>
      <c r="H892" t="s">
        <v>539</v>
      </c>
      <c r="I892">
        <v>1143058000</v>
      </c>
    </row>
    <row r="893" spans="1:9" x14ac:dyDescent="0.25">
      <c r="A893" t="s">
        <v>86</v>
      </c>
      <c r="B893" t="s">
        <v>540</v>
      </c>
      <c r="C893" t="s">
        <v>537</v>
      </c>
      <c r="D893">
        <v>20251231</v>
      </c>
      <c r="E893">
        <v>0</v>
      </c>
      <c r="F893" t="s">
        <v>538</v>
      </c>
      <c r="G893" t="s">
        <v>539</v>
      </c>
      <c r="H893" t="s">
        <v>539</v>
      </c>
      <c r="I893">
        <v>312114000</v>
      </c>
    </row>
    <row r="894" spans="1:9" x14ac:dyDescent="0.25">
      <c r="A894" t="s">
        <v>482</v>
      </c>
      <c r="B894" t="s">
        <v>536</v>
      </c>
      <c r="C894" t="s">
        <v>537</v>
      </c>
      <c r="D894">
        <v>20251231</v>
      </c>
      <c r="E894">
        <v>0</v>
      </c>
      <c r="F894" t="s">
        <v>538</v>
      </c>
      <c r="G894" t="s">
        <v>539</v>
      </c>
      <c r="H894" t="s">
        <v>539</v>
      </c>
      <c r="I894">
        <v>12429360000</v>
      </c>
    </row>
    <row r="895" spans="1:9" x14ac:dyDescent="0.25">
      <c r="A895" t="s">
        <v>486</v>
      </c>
      <c r="B895" t="s">
        <v>542</v>
      </c>
      <c r="C895" t="s">
        <v>537</v>
      </c>
      <c r="D895">
        <v>20251231</v>
      </c>
      <c r="E895">
        <v>4</v>
      </c>
      <c r="F895" t="s">
        <v>538</v>
      </c>
      <c r="G895" t="s">
        <v>539</v>
      </c>
      <c r="H895" t="s">
        <v>539</v>
      </c>
      <c r="I895">
        <v>5.47</v>
      </c>
    </row>
    <row r="896" spans="1:9" x14ac:dyDescent="0.25">
      <c r="A896" t="s">
        <v>490</v>
      </c>
      <c r="B896" t="s">
        <v>543</v>
      </c>
      <c r="C896" t="s">
        <v>537</v>
      </c>
      <c r="D896">
        <v>20251231</v>
      </c>
      <c r="E896">
        <v>4</v>
      </c>
      <c r="F896" t="s">
        <v>538</v>
      </c>
      <c r="G896" t="s">
        <v>539</v>
      </c>
      <c r="H896" t="s">
        <v>539</v>
      </c>
      <c r="I896">
        <v>105871000</v>
      </c>
    </row>
    <row r="897" spans="1:9" x14ac:dyDescent="0.25">
      <c r="A897" t="s">
        <v>154</v>
      </c>
      <c r="B897" t="s">
        <v>540</v>
      </c>
      <c r="C897" t="s">
        <v>537</v>
      </c>
      <c r="D897">
        <v>20251231</v>
      </c>
      <c r="E897">
        <v>0</v>
      </c>
      <c r="F897" t="s">
        <v>538</v>
      </c>
      <c r="G897" t="s">
        <v>539</v>
      </c>
      <c r="H897" t="s">
        <v>539</v>
      </c>
      <c r="I897">
        <v>3308918000</v>
      </c>
    </row>
    <row r="898" spans="1:9" x14ac:dyDescent="0.25">
      <c r="A898" t="s">
        <v>168</v>
      </c>
      <c r="B898" t="s">
        <v>540</v>
      </c>
      <c r="C898" t="s">
        <v>537</v>
      </c>
      <c r="D898">
        <v>20251231</v>
      </c>
      <c r="E898">
        <v>0</v>
      </c>
      <c r="F898" t="s">
        <v>538</v>
      </c>
      <c r="G898" t="s">
        <v>539</v>
      </c>
      <c r="H898" t="s">
        <v>539</v>
      </c>
      <c r="I898">
        <v>5245870000</v>
      </c>
    </row>
    <row r="899" spans="1:9" x14ac:dyDescent="0.25">
      <c r="A899" t="s">
        <v>168</v>
      </c>
      <c r="B899" t="s">
        <v>544</v>
      </c>
      <c r="C899" t="s">
        <v>537</v>
      </c>
      <c r="D899">
        <v>20251231</v>
      </c>
      <c r="E899">
        <v>0</v>
      </c>
      <c r="F899" t="s">
        <v>538</v>
      </c>
      <c r="G899" t="s">
        <v>539</v>
      </c>
      <c r="H899" t="s">
        <v>539</v>
      </c>
      <c r="I899">
        <v>485725000</v>
      </c>
    </row>
    <row r="900" spans="1:9" x14ac:dyDescent="0.25">
      <c r="A900" t="s">
        <v>430</v>
      </c>
      <c r="B900" t="s">
        <v>542</v>
      </c>
      <c r="C900" t="s">
        <v>546</v>
      </c>
      <c r="D900">
        <v>20251231</v>
      </c>
      <c r="E900">
        <v>4</v>
      </c>
      <c r="F900" t="s">
        <v>538</v>
      </c>
      <c r="G900" t="s">
        <v>539</v>
      </c>
      <c r="H900" t="s">
        <v>539</v>
      </c>
      <c r="I900">
        <v>0.49</v>
      </c>
    </row>
    <row r="901" spans="1:9" x14ac:dyDescent="0.25">
      <c r="A901" t="s">
        <v>430</v>
      </c>
      <c r="B901" t="s">
        <v>541</v>
      </c>
      <c r="C901" t="s">
        <v>546</v>
      </c>
      <c r="D901">
        <v>20251231</v>
      </c>
      <c r="E901">
        <v>4</v>
      </c>
      <c r="F901" t="s">
        <v>538</v>
      </c>
      <c r="G901" t="s">
        <v>539</v>
      </c>
      <c r="H901" t="s">
        <v>539</v>
      </c>
      <c r="I901">
        <v>941164000</v>
      </c>
    </row>
    <row r="902" spans="1:9" x14ac:dyDescent="0.25">
      <c r="A902" t="s">
        <v>176</v>
      </c>
      <c r="B902" t="s">
        <v>536</v>
      </c>
      <c r="C902" t="s">
        <v>537</v>
      </c>
      <c r="D902">
        <v>20251231</v>
      </c>
      <c r="E902">
        <v>0</v>
      </c>
      <c r="F902" t="s">
        <v>538</v>
      </c>
      <c r="G902" t="s">
        <v>539</v>
      </c>
      <c r="H902" t="s">
        <v>539</v>
      </c>
      <c r="I902">
        <v>1924918000</v>
      </c>
    </row>
    <row r="903" spans="1:9" x14ac:dyDescent="0.25">
      <c r="A903" t="s">
        <v>178</v>
      </c>
      <c r="B903" t="s">
        <v>543</v>
      </c>
      <c r="C903" t="s">
        <v>537</v>
      </c>
      <c r="D903">
        <v>20251231</v>
      </c>
      <c r="E903">
        <v>4</v>
      </c>
      <c r="F903" t="s">
        <v>538</v>
      </c>
      <c r="G903" t="s">
        <v>539</v>
      </c>
      <c r="H903" t="s">
        <v>539</v>
      </c>
      <c r="I903">
        <v>23120000</v>
      </c>
    </row>
    <row r="904" spans="1:9" x14ac:dyDescent="0.25">
      <c r="A904" t="s">
        <v>180</v>
      </c>
      <c r="B904" t="s">
        <v>540</v>
      </c>
      <c r="C904" t="s">
        <v>537</v>
      </c>
      <c r="D904">
        <v>20251231</v>
      </c>
      <c r="E904">
        <v>0</v>
      </c>
      <c r="F904" t="s">
        <v>538</v>
      </c>
      <c r="G904" t="s">
        <v>539</v>
      </c>
      <c r="H904" t="s">
        <v>539</v>
      </c>
      <c r="I904">
        <v>2133540000</v>
      </c>
    </row>
    <row r="905" spans="1:9" x14ac:dyDescent="0.25">
      <c r="A905" t="s">
        <v>180</v>
      </c>
      <c r="B905" t="s">
        <v>541</v>
      </c>
      <c r="C905" t="s">
        <v>537</v>
      </c>
      <c r="D905">
        <v>20251231</v>
      </c>
      <c r="E905">
        <v>4</v>
      </c>
      <c r="F905" t="s">
        <v>538</v>
      </c>
      <c r="G905" t="s">
        <v>539</v>
      </c>
      <c r="H905" t="s">
        <v>539</v>
      </c>
      <c r="I905">
        <v>87093000</v>
      </c>
    </row>
    <row r="906" spans="1:9" x14ac:dyDescent="0.25">
      <c r="A906" t="s">
        <v>184</v>
      </c>
      <c r="B906" t="s">
        <v>540</v>
      </c>
      <c r="C906" t="s">
        <v>537</v>
      </c>
      <c r="D906">
        <v>20251231</v>
      </c>
      <c r="E906">
        <v>0</v>
      </c>
      <c r="F906" t="s">
        <v>538</v>
      </c>
      <c r="G906" t="s">
        <v>539</v>
      </c>
      <c r="H906" t="s">
        <v>539</v>
      </c>
      <c r="I906">
        <v>2748058000</v>
      </c>
    </row>
    <row r="907" spans="1:9" x14ac:dyDescent="0.25">
      <c r="A907" t="s">
        <v>432</v>
      </c>
      <c r="B907" t="s">
        <v>540</v>
      </c>
      <c r="C907" t="s">
        <v>537</v>
      </c>
      <c r="D907">
        <v>20251231</v>
      </c>
      <c r="E907">
        <v>0</v>
      </c>
      <c r="F907" t="s">
        <v>538</v>
      </c>
      <c r="G907" t="s">
        <v>539</v>
      </c>
      <c r="H907" t="s">
        <v>539</v>
      </c>
      <c r="I907">
        <v>6684138000</v>
      </c>
    </row>
    <row r="908" spans="1:9" x14ac:dyDescent="0.25">
      <c r="A908" t="s">
        <v>158</v>
      </c>
      <c r="B908" t="s">
        <v>541</v>
      </c>
      <c r="C908" t="s">
        <v>537</v>
      </c>
      <c r="D908">
        <v>20251231</v>
      </c>
      <c r="E908">
        <v>4</v>
      </c>
      <c r="F908" t="s">
        <v>538</v>
      </c>
      <c r="G908" t="s">
        <v>539</v>
      </c>
      <c r="H908" t="s">
        <v>539</v>
      </c>
      <c r="I908">
        <v>152428000</v>
      </c>
    </row>
    <row r="909" spans="1:9" x14ac:dyDescent="0.25">
      <c r="A909" t="s">
        <v>434</v>
      </c>
      <c r="B909" t="s">
        <v>543</v>
      </c>
      <c r="C909" t="s">
        <v>537</v>
      </c>
      <c r="D909">
        <v>20251231</v>
      </c>
      <c r="E909">
        <v>4</v>
      </c>
      <c r="F909" t="s">
        <v>538</v>
      </c>
      <c r="G909" t="s">
        <v>539</v>
      </c>
      <c r="H909" t="s">
        <v>539</v>
      </c>
      <c r="I909">
        <v>169235000</v>
      </c>
    </row>
    <row r="910" spans="1:9" x14ac:dyDescent="0.25">
      <c r="A910" t="s">
        <v>90</v>
      </c>
      <c r="B910" t="s">
        <v>540</v>
      </c>
      <c r="C910" t="s">
        <v>537</v>
      </c>
      <c r="D910">
        <v>20251231</v>
      </c>
      <c r="E910">
        <v>0</v>
      </c>
      <c r="F910" t="s">
        <v>538</v>
      </c>
      <c r="G910" t="s">
        <v>539</v>
      </c>
      <c r="H910" t="s">
        <v>539</v>
      </c>
      <c r="I910">
        <v>4480500000</v>
      </c>
    </row>
    <row r="911" spans="1:9" x14ac:dyDescent="0.25">
      <c r="A911" t="s">
        <v>188</v>
      </c>
      <c r="B911" t="s">
        <v>542</v>
      </c>
      <c r="C911" t="s">
        <v>537</v>
      </c>
      <c r="D911">
        <v>20251231</v>
      </c>
      <c r="E911">
        <v>4</v>
      </c>
      <c r="F911" t="s">
        <v>538</v>
      </c>
      <c r="G911" t="s">
        <v>539</v>
      </c>
      <c r="H911" t="s">
        <v>539</v>
      </c>
      <c r="I911">
        <v>-2.25</v>
      </c>
    </row>
    <row r="912" spans="1:9" x14ac:dyDescent="0.25">
      <c r="A912" t="s">
        <v>90</v>
      </c>
      <c r="B912" t="s">
        <v>541</v>
      </c>
      <c r="C912" t="s">
        <v>537</v>
      </c>
      <c r="D912">
        <v>20251231</v>
      </c>
      <c r="E912">
        <v>4</v>
      </c>
      <c r="F912" t="s">
        <v>538</v>
      </c>
      <c r="G912" t="s">
        <v>539</v>
      </c>
      <c r="H912" t="s">
        <v>539</v>
      </c>
      <c r="I912">
        <v>251998000</v>
      </c>
    </row>
    <row r="913" spans="1:9" x14ac:dyDescent="0.25">
      <c r="A913" t="s">
        <v>90</v>
      </c>
      <c r="B913" t="s">
        <v>536</v>
      </c>
      <c r="C913" t="s">
        <v>537</v>
      </c>
      <c r="D913">
        <v>20251231</v>
      </c>
      <c r="E913">
        <v>0</v>
      </c>
      <c r="F913" t="s">
        <v>538</v>
      </c>
      <c r="G913" t="s">
        <v>539</v>
      </c>
      <c r="H913" t="s">
        <v>539</v>
      </c>
      <c r="I913">
        <v>3986663000</v>
      </c>
    </row>
    <row r="914" spans="1:9" x14ac:dyDescent="0.25">
      <c r="A914" t="s">
        <v>92</v>
      </c>
      <c r="B914" t="s">
        <v>541</v>
      </c>
      <c r="C914" t="s">
        <v>537</v>
      </c>
      <c r="D914">
        <v>20251231</v>
      </c>
      <c r="E914">
        <v>4</v>
      </c>
      <c r="F914" t="s">
        <v>538</v>
      </c>
      <c r="G914" t="s">
        <v>539</v>
      </c>
      <c r="H914" t="s">
        <v>539</v>
      </c>
      <c r="I914">
        <v>159168000</v>
      </c>
    </row>
    <row r="915" spans="1:9" x14ac:dyDescent="0.25">
      <c r="A915" t="s">
        <v>92</v>
      </c>
      <c r="B915" t="s">
        <v>544</v>
      </c>
      <c r="C915" t="s">
        <v>537</v>
      </c>
      <c r="D915">
        <v>20251231</v>
      </c>
      <c r="E915">
        <v>0</v>
      </c>
      <c r="F915" t="s">
        <v>538</v>
      </c>
      <c r="G915" t="s">
        <v>539</v>
      </c>
      <c r="H915" t="s">
        <v>539</v>
      </c>
      <c r="I915">
        <v>338051000</v>
      </c>
    </row>
    <row r="916" spans="1:9" x14ac:dyDescent="0.25">
      <c r="A916" t="s">
        <v>94</v>
      </c>
      <c r="B916" t="s">
        <v>540</v>
      </c>
      <c r="C916" t="s">
        <v>537</v>
      </c>
      <c r="D916">
        <v>20251231</v>
      </c>
      <c r="E916">
        <v>0</v>
      </c>
      <c r="F916" t="s">
        <v>538</v>
      </c>
      <c r="G916" t="s">
        <v>539</v>
      </c>
      <c r="H916" t="s">
        <v>539</v>
      </c>
      <c r="I916">
        <v>1582654000</v>
      </c>
    </row>
    <row r="917" spans="1:9" x14ac:dyDescent="0.25">
      <c r="A917" t="s">
        <v>192</v>
      </c>
      <c r="B917" t="s">
        <v>536</v>
      </c>
      <c r="C917" t="s">
        <v>537</v>
      </c>
      <c r="D917">
        <v>20251231</v>
      </c>
      <c r="E917">
        <v>0</v>
      </c>
      <c r="F917" t="s">
        <v>538</v>
      </c>
      <c r="G917" t="s">
        <v>539</v>
      </c>
      <c r="H917" t="s">
        <v>539</v>
      </c>
      <c r="I917">
        <v>1417629000</v>
      </c>
    </row>
    <row r="918" spans="1:9" x14ac:dyDescent="0.25">
      <c r="A918" t="s">
        <v>94</v>
      </c>
      <c r="B918" t="s">
        <v>544</v>
      </c>
      <c r="C918" t="s">
        <v>537</v>
      </c>
      <c r="D918">
        <v>20251231</v>
      </c>
      <c r="E918">
        <v>0</v>
      </c>
      <c r="F918" t="s">
        <v>538</v>
      </c>
      <c r="G918" t="s">
        <v>539</v>
      </c>
      <c r="H918" t="s">
        <v>539</v>
      </c>
      <c r="I918">
        <v>170257000</v>
      </c>
    </row>
    <row r="919" spans="1:9" x14ac:dyDescent="0.25">
      <c r="A919" t="s">
        <v>96</v>
      </c>
      <c r="B919" t="s">
        <v>536</v>
      </c>
      <c r="C919" t="s">
        <v>537</v>
      </c>
      <c r="D919">
        <v>20251231</v>
      </c>
      <c r="E919">
        <v>0</v>
      </c>
      <c r="F919" t="s">
        <v>538</v>
      </c>
      <c r="G919" t="s">
        <v>539</v>
      </c>
      <c r="H919" t="s">
        <v>539</v>
      </c>
      <c r="I919">
        <v>5044596000</v>
      </c>
    </row>
    <row r="920" spans="1:9" x14ac:dyDescent="0.25">
      <c r="A920" t="s">
        <v>100</v>
      </c>
      <c r="B920" t="s">
        <v>544</v>
      </c>
      <c r="C920" t="s">
        <v>537</v>
      </c>
      <c r="D920">
        <v>20251231</v>
      </c>
      <c r="E920">
        <v>0</v>
      </c>
      <c r="F920" t="s">
        <v>538</v>
      </c>
      <c r="G920" t="s">
        <v>539</v>
      </c>
      <c r="H920" t="s">
        <v>539</v>
      </c>
      <c r="I920">
        <v>250995000</v>
      </c>
    </row>
    <row r="921" spans="1:9" x14ac:dyDescent="0.25">
      <c r="A921" t="s">
        <v>194</v>
      </c>
      <c r="B921" t="s">
        <v>541</v>
      </c>
      <c r="C921" t="s">
        <v>537</v>
      </c>
      <c r="D921">
        <v>20251231</v>
      </c>
      <c r="E921">
        <v>4</v>
      </c>
      <c r="F921" t="s">
        <v>538</v>
      </c>
      <c r="G921" t="s">
        <v>539</v>
      </c>
      <c r="H921" t="s">
        <v>539</v>
      </c>
      <c r="I921">
        <v>99497000</v>
      </c>
    </row>
    <row r="922" spans="1:9" x14ac:dyDescent="0.25">
      <c r="A922" t="s">
        <v>480</v>
      </c>
      <c r="B922" t="s">
        <v>540</v>
      </c>
      <c r="C922" t="s">
        <v>537</v>
      </c>
      <c r="D922">
        <v>20251231</v>
      </c>
      <c r="E922">
        <v>0</v>
      </c>
      <c r="F922" t="s">
        <v>538</v>
      </c>
      <c r="G922" t="s">
        <v>539</v>
      </c>
      <c r="H922" t="s">
        <v>539</v>
      </c>
      <c r="I922">
        <v>472300000000</v>
      </c>
    </row>
    <row r="923" spans="1:9" x14ac:dyDescent="0.25">
      <c r="A923" t="s">
        <v>480</v>
      </c>
      <c r="B923" t="s">
        <v>541</v>
      </c>
      <c r="C923" t="s">
        <v>537</v>
      </c>
      <c r="D923">
        <v>20251231</v>
      </c>
      <c r="E923">
        <v>4</v>
      </c>
      <c r="F923" t="s">
        <v>538</v>
      </c>
      <c r="G923" t="s">
        <v>539</v>
      </c>
      <c r="H923" t="s">
        <v>539</v>
      </c>
      <c r="I923">
        <v>25626000000</v>
      </c>
    </row>
    <row r="924" spans="1:9" x14ac:dyDescent="0.25">
      <c r="A924" t="s">
        <v>160</v>
      </c>
      <c r="B924" t="s">
        <v>543</v>
      </c>
      <c r="C924" t="s">
        <v>537</v>
      </c>
      <c r="D924">
        <v>20251231</v>
      </c>
      <c r="E924">
        <v>4</v>
      </c>
      <c r="F924" t="s">
        <v>538</v>
      </c>
      <c r="G924" t="s">
        <v>539</v>
      </c>
      <c r="H924" t="s">
        <v>539</v>
      </c>
      <c r="I924">
        <v>57170000</v>
      </c>
    </row>
    <row r="925" spans="1:9" x14ac:dyDescent="0.25">
      <c r="A925" t="s">
        <v>476</v>
      </c>
      <c r="B925" t="s">
        <v>536</v>
      </c>
      <c r="C925" t="s">
        <v>537</v>
      </c>
      <c r="D925">
        <v>20251231</v>
      </c>
      <c r="E925">
        <v>0</v>
      </c>
      <c r="F925" t="s">
        <v>538</v>
      </c>
      <c r="G925" t="s">
        <v>539</v>
      </c>
      <c r="H925" t="s">
        <v>539</v>
      </c>
      <c r="I925">
        <v>8662629000</v>
      </c>
    </row>
    <row r="926" spans="1:9" x14ac:dyDescent="0.25">
      <c r="A926" t="s">
        <v>158</v>
      </c>
      <c r="B926" t="s">
        <v>544</v>
      </c>
      <c r="C926" t="s">
        <v>537</v>
      </c>
      <c r="D926">
        <v>20251231</v>
      </c>
      <c r="E926">
        <v>0</v>
      </c>
      <c r="F926" t="s">
        <v>538</v>
      </c>
      <c r="G926" t="s">
        <v>539</v>
      </c>
      <c r="H926" t="s">
        <v>539</v>
      </c>
      <c r="I926">
        <v>394654000</v>
      </c>
    </row>
    <row r="927" spans="1:9" x14ac:dyDescent="0.25">
      <c r="A927" t="s">
        <v>488</v>
      </c>
      <c r="B927" t="s">
        <v>536</v>
      </c>
      <c r="C927" t="s">
        <v>537</v>
      </c>
      <c r="D927">
        <v>20251231</v>
      </c>
      <c r="E927">
        <v>0</v>
      </c>
      <c r="F927" t="s">
        <v>538</v>
      </c>
      <c r="G927" t="s">
        <v>539</v>
      </c>
      <c r="H927" t="s">
        <v>539</v>
      </c>
      <c r="I927">
        <v>4250478000</v>
      </c>
    </row>
    <row r="928" spans="1:9" x14ac:dyDescent="0.25">
      <c r="A928" t="s">
        <v>488</v>
      </c>
      <c r="B928" t="s">
        <v>543</v>
      </c>
      <c r="C928" t="s">
        <v>537</v>
      </c>
      <c r="D928">
        <v>20251231</v>
      </c>
      <c r="E928">
        <v>4</v>
      </c>
      <c r="F928" t="s">
        <v>538</v>
      </c>
      <c r="G928" t="s">
        <v>539</v>
      </c>
      <c r="H928" t="s">
        <v>539</v>
      </c>
      <c r="I928">
        <v>46993000</v>
      </c>
    </row>
    <row r="929" spans="1:9" x14ac:dyDescent="0.25">
      <c r="A929" t="s">
        <v>496</v>
      </c>
      <c r="B929" t="s">
        <v>542</v>
      </c>
      <c r="C929" t="s">
        <v>537</v>
      </c>
      <c r="D929">
        <v>20251231</v>
      </c>
      <c r="E929">
        <v>4</v>
      </c>
      <c r="F929" t="s">
        <v>538</v>
      </c>
      <c r="G929" t="s">
        <v>539</v>
      </c>
      <c r="H929" t="s">
        <v>539</v>
      </c>
      <c r="I929">
        <v>6.46</v>
      </c>
    </row>
    <row r="930" spans="1:9" x14ac:dyDescent="0.25">
      <c r="A930" t="s">
        <v>438</v>
      </c>
      <c r="B930" t="s">
        <v>541</v>
      </c>
      <c r="C930" t="s">
        <v>537</v>
      </c>
      <c r="D930">
        <v>20251231</v>
      </c>
      <c r="E930">
        <v>4</v>
      </c>
      <c r="F930" t="s">
        <v>538</v>
      </c>
      <c r="G930" t="s">
        <v>539</v>
      </c>
      <c r="H930" t="s">
        <v>539</v>
      </c>
      <c r="I930">
        <v>990427000</v>
      </c>
    </row>
    <row r="931" spans="1:9" x14ac:dyDescent="0.25">
      <c r="A931" t="s">
        <v>440</v>
      </c>
      <c r="B931" t="s">
        <v>543</v>
      </c>
      <c r="C931" t="s">
        <v>537</v>
      </c>
      <c r="D931">
        <v>20251231</v>
      </c>
      <c r="E931">
        <v>4</v>
      </c>
      <c r="F931" t="s">
        <v>538</v>
      </c>
      <c r="G931" t="s">
        <v>539</v>
      </c>
      <c r="H931" t="s">
        <v>539</v>
      </c>
      <c r="I931">
        <v>116173000</v>
      </c>
    </row>
    <row r="932" spans="1:9" x14ac:dyDescent="0.25">
      <c r="A932" t="s">
        <v>440</v>
      </c>
      <c r="B932" t="s">
        <v>544</v>
      </c>
      <c r="C932" t="s">
        <v>537</v>
      </c>
      <c r="D932">
        <v>20251231</v>
      </c>
      <c r="E932">
        <v>0</v>
      </c>
      <c r="F932" t="s">
        <v>538</v>
      </c>
      <c r="G932" t="s">
        <v>539</v>
      </c>
      <c r="H932" t="s">
        <v>539</v>
      </c>
      <c r="I932">
        <v>933509000</v>
      </c>
    </row>
    <row r="933" spans="1:9" x14ac:dyDescent="0.25">
      <c r="A933" t="s">
        <v>478</v>
      </c>
      <c r="B933" t="s">
        <v>543</v>
      </c>
      <c r="C933" t="s">
        <v>537</v>
      </c>
      <c r="D933">
        <v>20251231</v>
      </c>
      <c r="E933">
        <v>4</v>
      </c>
      <c r="F933" t="s">
        <v>538</v>
      </c>
      <c r="G933" t="s">
        <v>539</v>
      </c>
      <c r="H933" t="s">
        <v>539</v>
      </c>
      <c r="I933">
        <v>475441000</v>
      </c>
    </row>
    <row r="934" spans="1:9" x14ac:dyDescent="0.25">
      <c r="A934" t="s">
        <v>162</v>
      </c>
      <c r="B934" t="s">
        <v>541</v>
      </c>
      <c r="C934" t="s">
        <v>537</v>
      </c>
      <c r="D934">
        <v>20251231</v>
      </c>
      <c r="E934">
        <v>4</v>
      </c>
      <c r="F934" t="s">
        <v>538</v>
      </c>
      <c r="G934" t="s">
        <v>539</v>
      </c>
      <c r="H934" t="s">
        <v>539</v>
      </c>
      <c r="I934">
        <v>197536000</v>
      </c>
    </row>
    <row r="935" spans="1:9" x14ac:dyDescent="0.25">
      <c r="A935" t="s">
        <v>102</v>
      </c>
      <c r="B935" t="s">
        <v>536</v>
      </c>
      <c r="C935" t="s">
        <v>537</v>
      </c>
      <c r="D935">
        <v>20251231</v>
      </c>
      <c r="E935">
        <v>0</v>
      </c>
      <c r="F935" t="s">
        <v>538</v>
      </c>
      <c r="G935" t="s">
        <v>539</v>
      </c>
      <c r="H935" t="s">
        <v>539</v>
      </c>
      <c r="I935">
        <v>1480658000</v>
      </c>
    </row>
    <row r="936" spans="1:9" x14ac:dyDescent="0.25">
      <c r="A936" t="s">
        <v>104</v>
      </c>
      <c r="B936" t="s">
        <v>540</v>
      </c>
      <c r="C936" t="s">
        <v>537</v>
      </c>
      <c r="D936">
        <v>20251231</v>
      </c>
      <c r="E936">
        <v>0</v>
      </c>
      <c r="F936" t="s">
        <v>538</v>
      </c>
      <c r="G936" t="s">
        <v>539</v>
      </c>
      <c r="H936" t="s">
        <v>539</v>
      </c>
      <c r="I936">
        <v>2257727000</v>
      </c>
    </row>
    <row r="937" spans="1:9" x14ac:dyDescent="0.25">
      <c r="A937" t="s">
        <v>156</v>
      </c>
      <c r="B937" t="s">
        <v>536</v>
      </c>
      <c r="C937" t="s">
        <v>537</v>
      </c>
      <c r="D937">
        <v>20251231</v>
      </c>
      <c r="E937">
        <v>0</v>
      </c>
      <c r="F937" t="s">
        <v>538</v>
      </c>
      <c r="G937" t="s">
        <v>539</v>
      </c>
      <c r="H937" t="s">
        <v>539</v>
      </c>
      <c r="I937">
        <v>6453783000</v>
      </c>
    </row>
    <row r="938" spans="1:9" x14ac:dyDescent="0.25">
      <c r="A938" t="s">
        <v>156</v>
      </c>
      <c r="B938" t="s">
        <v>544</v>
      </c>
      <c r="C938" t="s">
        <v>537</v>
      </c>
      <c r="D938">
        <v>20251231</v>
      </c>
      <c r="E938">
        <v>0</v>
      </c>
      <c r="F938" t="s">
        <v>538</v>
      </c>
      <c r="G938" t="s">
        <v>539</v>
      </c>
      <c r="H938" t="s">
        <v>539</v>
      </c>
      <c r="I938">
        <v>569042000</v>
      </c>
    </row>
    <row r="939" spans="1:9" x14ac:dyDescent="0.25">
      <c r="A939" t="s">
        <v>104</v>
      </c>
      <c r="B939" t="s">
        <v>542</v>
      </c>
      <c r="C939" t="s">
        <v>537</v>
      </c>
      <c r="D939">
        <v>20251231</v>
      </c>
      <c r="E939">
        <v>4</v>
      </c>
      <c r="F939" t="s">
        <v>538</v>
      </c>
      <c r="G939" t="s">
        <v>539</v>
      </c>
      <c r="H939" t="s">
        <v>539</v>
      </c>
      <c r="I939">
        <v>3.8</v>
      </c>
    </row>
    <row r="940" spans="1:9" x14ac:dyDescent="0.25">
      <c r="A940" t="s">
        <v>486</v>
      </c>
      <c r="B940" t="s">
        <v>541</v>
      </c>
      <c r="C940" t="s">
        <v>537</v>
      </c>
      <c r="D940">
        <v>20251231</v>
      </c>
      <c r="E940">
        <v>4</v>
      </c>
      <c r="F940" t="s">
        <v>538</v>
      </c>
      <c r="G940" t="s">
        <v>539</v>
      </c>
      <c r="H940" t="s">
        <v>539</v>
      </c>
      <c r="I940">
        <v>330194000</v>
      </c>
    </row>
    <row r="941" spans="1:9" x14ac:dyDescent="0.25">
      <c r="A941" t="s">
        <v>486</v>
      </c>
      <c r="B941" t="s">
        <v>544</v>
      </c>
      <c r="C941" t="s">
        <v>537</v>
      </c>
      <c r="D941">
        <v>20251231</v>
      </c>
      <c r="E941">
        <v>0</v>
      </c>
      <c r="F941" t="s">
        <v>538</v>
      </c>
      <c r="G941" t="s">
        <v>539</v>
      </c>
      <c r="H941" t="s">
        <v>539</v>
      </c>
      <c r="I941">
        <v>724884000</v>
      </c>
    </row>
    <row r="942" spans="1:9" x14ac:dyDescent="0.25">
      <c r="A942" t="s">
        <v>164</v>
      </c>
      <c r="B942" t="s">
        <v>543</v>
      </c>
      <c r="C942" t="s">
        <v>537</v>
      </c>
      <c r="D942">
        <v>20251231</v>
      </c>
      <c r="E942">
        <v>4</v>
      </c>
      <c r="F942" t="s">
        <v>538</v>
      </c>
      <c r="G942" t="s">
        <v>539</v>
      </c>
      <c r="H942" t="s">
        <v>539</v>
      </c>
      <c r="I942">
        <v>315124000</v>
      </c>
    </row>
    <row r="943" spans="1:9" x14ac:dyDescent="0.25">
      <c r="A943" t="s">
        <v>170</v>
      </c>
      <c r="B943" t="s">
        <v>536</v>
      </c>
      <c r="C943" t="s">
        <v>537</v>
      </c>
      <c r="D943">
        <v>20251231</v>
      </c>
      <c r="E943">
        <v>0</v>
      </c>
      <c r="F943" t="s">
        <v>538</v>
      </c>
      <c r="G943" t="s">
        <v>539</v>
      </c>
      <c r="H943" t="s">
        <v>539</v>
      </c>
      <c r="I943">
        <v>2759096000</v>
      </c>
    </row>
    <row r="944" spans="1:9" x14ac:dyDescent="0.25">
      <c r="A944" t="s">
        <v>176</v>
      </c>
      <c r="B944" t="s">
        <v>542</v>
      </c>
      <c r="C944" t="s">
        <v>537</v>
      </c>
      <c r="D944">
        <v>20251231</v>
      </c>
      <c r="E944">
        <v>4</v>
      </c>
      <c r="F944" t="s">
        <v>538</v>
      </c>
      <c r="G944" t="s">
        <v>539</v>
      </c>
      <c r="H944" t="s">
        <v>539</v>
      </c>
      <c r="I944">
        <v>3.2</v>
      </c>
    </row>
    <row r="945" spans="1:9" x14ac:dyDescent="0.25">
      <c r="A945" t="s">
        <v>176</v>
      </c>
      <c r="B945" t="s">
        <v>541</v>
      </c>
      <c r="C945" t="s">
        <v>537</v>
      </c>
      <c r="D945">
        <v>20251231</v>
      </c>
      <c r="E945">
        <v>4</v>
      </c>
      <c r="F945" t="s">
        <v>538</v>
      </c>
      <c r="G945" t="s">
        <v>539</v>
      </c>
      <c r="H945" t="s">
        <v>539</v>
      </c>
      <c r="I945">
        <v>142677000</v>
      </c>
    </row>
    <row r="946" spans="1:9" x14ac:dyDescent="0.25">
      <c r="A946" t="s">
        <v>180</v>
      </c>
      <c r="B946" t="s">
        <v>536</v>
      </c>
      <c r="C946" t="s">
        <v>537</v>
      </c>
      <c r="D946">
        <v>20251231</v>
      </c>
      <c r="E946">
        <v>0</v>
      </c>
      <c r="F946" t="s">
        <v>538</v>
      </c>
      <c r="G946" t="s">
        <v>539</v>
      </c>
      <c r="H946" t="s">
        <v>539</v>
      </c>
      <c r="I946">
        <v>1925646000</v>
      </c>
    </row>
    <row r="947" spans="1:9" x14ac:dyDescent="0.25">
      <c r="A947" t="s">
        <v>180</v>
      </c>
      <c r="B947" t="s">
        <v>543</v>
      </c>
      <c r="C947" t="s">
        <v>537</v>
      </c>
      <c r="D947">
        <v>20251231</v>
      </c>
      <c r="E947">
        <v>4</v>
      </c>
      <c r="F947" t="s">
        <v>538</v>
      </c>
      <c r="G947" t="s">
        <v>539</v>
      </c>
      <c r="H947" t="s">
        <v>539</v>
      </c>
      <c r="I947">
        <v>19027000</v>
      </c>
    </row>
    <row r="948" spans="1:9" x14ac:dyDescent="0.25">
      <c r="A948" t="s">
        <v>184</v>
      </c>
      <c r="B948" t="s">
        <v>543</v>
      </c>
      <c r="C948" t="s">
        <v>537</v>
      </c>
      <c r="D948">
        <v>20251231</v>
      </c>
      <c r="E948">
        <v>4</v>
      </c>
      <c r="F948" t="s">
        <v>538</v>
      </c>
      <c r="G948" t="s">
        <v>539</v>
      </c>
      <c r="H948" t="s">
        <v>539</v>
      </c>
      <c r="I948">
        <v>28198000</v>
      </c>
    </row>
    <row r="949" spans="1:9" x14ac:dyDescent="0.25">
      <c r="A949" t="s">
        <v>480</v>
      </c>
      <c r="B949" t="s">
        <v>536</v>
      </c>
      <c r="C949" t="s">
        <v>537</v>
      </c>
      <c r="D949">
        <v>20251231</v>
      </c>
      <c r="E949">
        <v>0</v>
      </c>
      <c r="F949" t="s">
        <v>538</v>
      </c>
      <c r="G949" t="s">
        <v>539</v>
      </c>
      <c r="H949" t="s">
        <v>539</v>
      </c>
      <c r="I949">
        <v>427492000000</v>
      </c>
    </row>
    <row r="950" spans="1:9" x14ac:dyDescent="0.25">
      <c r="A950" t="s">
        <v>186</v>
      </c>
      <c r="B950" t="s">
        <v>540</v>
      </c>
      <c r="C950" t="s">
        <v>537</v>
      </c>
      <c r="D950">
        <v>20251231</v>
      </c>
      <c r="E950">
        <v>0</v>
      </c>
      <c r="F950" t="s">
        <v>538</v>
      </c>
      <c r="G950" t="s">
        <v>539</v>
      </c>
      <c r="H950" t="s">
        <v>539</v>
      </c>
      <c r="I950">
        <v>2833048000</v>
      </c>
    </row>
    <row r="951" spans="1:9" x14ac:dyDescent="0.25">
      <c r="A951" t="s">
        <v>186</v>
      </c>
      <c r="B951" t="s">
        <v>544</v>
      </c>
      <c r="C951" t="s">
        <v>537</v>
      </c>
      <c r="D951">
        <v>20251231</v>
      </c>
      <c r="E951">
        <v>0</v>
      </c>
      <c r="F951" t="s">
        <v>538</v>
      </c>
      <c r="G951" t="s">
        <v>539</v>
      </c>
      <c r="H951" t="s">
        <v>539</v>
      </c>
      <c r="I951">
        <v>301073000</v>
      </c>
    </row>
    <row r="952" spans="1:9" x14ac:dyDescent="0.25">
      <c r="A952" t="s">
        <v>164</v>
      </c>
      <c r="B952" t="s">
        <v>544</v>
      </c>
      <c r="C952" t="s">
        <v>537</v>
      </c>
      <c r="D952">
        <v>20251231</v>
      </c>
      <c r="E952">
        <v>0</v>
      </c>
      <c r="F952" t="s">
        <v>538</v>
      </c>
      <c r="G952" t="s">
        <v>539</v>
      </c>
      <c r="H952" t="s">
        <v>539</v>
      </c>
      <c r="I952">
        <v>2925388000</v>
      </c>
    </row>
    <row r="953" spans="1:9" x14ac:dyDescent="0.25">
      <c r="A953" t="s">
        <v>188</v>
      </c>
      <c r="B953" t="s">
        <v>540</v>
      </c>
      <c r="C953" t="s">
        <v>537</v>
      </c>
      <c r="D953">
        <v>20251231</v>
      </c>
      <c r="E953">
        <v>0</v>
      </c>
      <c r="F953" t="s">
        <v>538</v>
      </c>
      <c r="G953" t="s">
        <v>539</v>
      </c>
      <c r="H953" t="s">
        <v>539</v>
      </c>
      <c r="I953">
        <v>2569643000</v>
      </c>
    </row>
    <row r="954" spans="1:9" x14ac:dyDescent="0.25">
      <c r="A954" t="s">
        <v>188</v>
      </c>
      <c r="B954" t="s">
        <v>536</v>
      </c>
      <c r="C954" t="s">
        <v>537</v>
      </c>
      <c r="D954">
        <v>20251231</v>
      </c>
      <c r="E954">
        <v>0</v>
      </c>
      <c r="F954" t="s">
        <v>538</v>
      </c>
      <c r="G954" t="s">
        <v>539</v>
      </c>
      <c r="H954" t="s">
        <v>539</v>
      </c>
      <c r="I954">
        <v>2288664000</v>
      </c>
    </row>
    <row r="955" spans="1:9" x14ac:dyDescent="0.25">
      <c r="A955" t="s">
        <v>166</v>
      </c>
      <c r="B955" t="s">
        <v>540</v>
      </c>
      <c r="C955" t="s">
        <v>537</v>
      </c>
      <c r="D955">
        <v>20251231</v>
      </c>
      <c r="E955">
        <v>0</v>
      </c>
      <c r="F955" t="s">
        <v>538</v>
      </c>
      <c r="G955" t="s">
        <v>539</v>
      </c>
      <c r="H955" t="s">
        <v>539</v>
      </c>
      <c r="I955">
        <v>5230084000</v>
      </c>
    </row>
    <row r="956" spans="1:9" x14ac:dyDescent="0.25">
      <c r="A956" t="s">
        <v>166</v>
      </c>
      <c r="B956" t="s">
        <v>542</v>
      </c>
      <c r="C956" t="s">
        <v>537</v>
      </c>
      <c r="D956">
        <v>20251231</v>
      </c>
      <c r="E956">
        <v>4</v>
      </c>
      <c r="F956" t="s">
        <v>538</v>
      </c>
      <c r="G956" t="s">
        <v>539</v>
      </c>
      <c r="H956" t="s">
        <v>539</v>
      </c>
      <c r="I956">
        <v>0.69</v>
      </c>
    </row>
    <row r="957" spans="1:9" x14ac:dyDescent="0.25">
      <c r="A957" t="s">
        <v>194</v>
      </c>
      <c r="B957" t="s">
        <v>542</v>
      </c>
      <c r="C957" t="s">
        <v>537</v>
      </c>
      <c r="D957">
        <v>20251231</v>
      </c>
      <c r="E957">
        <v>4</v>
      </c>
      <c r="F957" t="s">
        <v>538</v>
      </c>
      <c r="G957" t="s">
        <v>539</v>
      </c>
      <c r="H957" t="s">
        <v>539</v>
      </c>
      <c r="I957">
        <v>1.97</v>
      </c>
    </row>
    <row r="958" spans="1:9" x14ac:dyDescent="0.25">
      <c r="A958" t="s">
        <v>196</v>
      </c>
      <c r="B958" t="s">
        <v>541</v>
      </c>
      <c r="C958" t="s">
        <v>537</v>
      </c>
      <c r="D958">
        <v>20251231</v>
      </c>
      <c r="E958">
        <v>4</v>
      </c>
      <c r="F958" t="s">
        <v>538</v>
      </c>
      <c r="G958" t="s">
        <v>539</v>
      </c>
      <c r="H958" t="s">
        <v>539</v>
      </c>
      <c r="I958">
        <v>87922000</v>
      </c>
    </row>
    <row r="959" spans="1:9" x14ac:dyDescent="0.25">
      <c r="A959" t="s">
        <v>196</v>
      </c>
      <c r="B959" t="s">
        <v>536</v>
      </c>
      <c r="C959" t="s">
        <v>537</v>
      </c>
      <c r="D959">
        <v>20251231</v>
      </c>
      <c r="E959">
        <v>0</v>
      </c>
      <c r="F959" t="s">
        <v>538</v>
      </c>
      <c r="G959" t="s">
        <v>539</v>
      </c>
      <c r="H959" t="s">
        <v>539</v>
      </c>
      <c r="I959">
        <v>1815141000</v>
      </c>
    </row>
    <row r="960" spans="1:9" x14ac:dyDescent="0.25">
      <c r="A960" t="s">
        <v>170</v>
      </c>
      <c r="B960" t="s">
        <v>541</v>
      </c>
      <c r="C960" t="s">
        <v>537</v>
      </c>
      <c r="D960">
        <v>20251231</v>
      </c>
      <c r="E960">
        <v>4</v>
      </c>
      <c r="F960" t="s">
        <v>538</v>
      </c>
      <c r="G960" t="s">
        <v>539</v>
      </c>
      <c r="H960" t="s">
        <v>539</v>
      </c>
      <c r="I960">
        <v>142535000</v>
      </c>
    </row>
    <row r="961" spans="1:9" x14ac:dyDescent="0.25">
      <c r="A961" t="s">
        <v>170</v>
      </c>
      <c r="B961" t="s">
        <v>544</v>
      </c>
      <c r="C961" t="s">
        <v>537</v>
      </c>
      <c r="D961">
        <v>20251231</v>
      </c>
      <c r="E961">
        <v>0</v>
      </c>
      <c r="F961" t="s">
        <v>538</v>
      </c>
      <c r="G961" t="s">
        <v>539</v>
      </c>
      <c r="H961" t="s">
        <v>539</v>
      </c>
      <c r="I961">
        <v>500547000</v>
      </c>
    </row>
    <row r="962" spans="1:9" x14ac:dyDescent="0.25">
      <c r="A962" t="s">
        <v>198</v>
      </c>
      <c r="B962" t="s">
        <v>540</v>
      </c>
      <c r="C962" t="s">
        <v>537</v>
      </c>
      <c r="D962">
        <v>20251231</v>
      </c>
      <c r="E962">
        <v>0</v>
      </c>
      <c r="F962" t="s">
        <v>538</v>
      </c>
      <c r="G962" t="s">
        <v>539</v>
      </c>
      <c r="H962" t="s">
        <v>539</v>
      </c>
      <c r="I962">
        <v>1261457000</v>
      </c>
    </row>
    <row r="963" spans="1:9" x14ac:dyDescent="0.25">
      <c r="A963" t="s">
        <v>182</v>
      </c>
      <c r="B963" t="s">
        <v>541</v>
      </c>
      <c r="C963" t="s">
        <v>537</v>
      </c>
      <c r="D963">
        <v>20251231</v>
      </c>
      <c r="E963">
        <v>4</v>
      </c>
      <c r="F963" t="s">
        <v>538</v>
      </c>
      <c r="G963" t="s">
        <v>539</v>
      </c>
      <c r="H963" t="s">
        <v>539</v>
      </c>
      <c r="I963">
        <v>131588000</v>
      </c>
    </row>
    <row r="964" spans="1:9" x14ac:dyDescent="0.25">
      <c r="A964" t="s">
        <v>182</v>
      </c>
      <c r="B964" t="s">
        <v>543</v>
      </c>
      <c r="C964" t="s">
        <v>537</v>
      </c>
      <c r="D964">
        <v>20251231</v>
      </c>
      <c r="E964">
        <v>4</v>
      </c>
      <c r="F964" t="s">
        <v>538</v>
      </c>
      <c r="G964" t="s">
        <v>539</v>
      </c>
      <c r="H964" t="s">
        <v>539</v>
      </c>
      <c r="I964">
        <v>15613000</v>
      </c>
    </row>
    <row r="965" spans="1:9" x14ac:dyDescent="0.25">
      <c r="A965" t="s">
        <v>488</v>
      </c>
      <c r="B965" t="s">
        <v>540</v>
      </c>
      <c r="C965" t="s">
        <v>537</v>
      </c>
      <c r="D965">
        <v>20251231</v>
      </c>
      <c r="E965">
        <v>0</v>
      </c>
      <c r="F965" t="s">
        <v>538</v>
      </c>
      <c r="G965" t="s">
        <v>539</v>
      </c>
      <c r="H965" t="s">
        <v>539</v>
      </c>
      <c r="I965">
        <v>4741437000</v>
      </c>
    </row>
    <row r="966" spans="1:9" x14ac:dyDescent="0.25">
      <c r="A966" t="s">
        <v>188</v>
      </c>
      <c r="B966" t="s">
        <v>544</v>
      </c>
      <c r="C966" t="s">
        <v>537</v>
      </c>
      <c r="D966">
        <v>20251231</v>
      </c>
      <c r="E966">
        <v>0</v>
      </c>
      <c r="F966" t="s">
        <v>538</v>
      </c>
      <c r="G966" t="s">
        <v>539</v>
      </c>
      <c r="H966" t="s">
        <v>539</v>
      </c>
      <c r="I966">
        <v>280979000</v>
      </c>
    </row>
    <row r="967" spans="1:9" x14ac:dyDescent="0.25">
      <c r="A967" t="s">
        <v>190</v>
      </c>
      <c r="B967" t="s">
        <v>542</v>
      </c>
      <c r="C967" t="s">
        <v>537</v>
      </c>
      <c r="D967">
        <v>20251231</v>
      </c>
      <c r="E967">
        <v>4</v>
      </c>
      <c r="F967" t="s">
        <v>538</v>
      </c>
      <c r="G967" t="s">
        <v>539</v>
      </c>
      <c r="H967" t="s">
        <v>539</v>
      </c>
      <c r="I967">
        <v>2.84</v>
      </c>
    </row>
    <row r="968" spans="1:9" x14ac:dyDescent="0.25">
      <c r="A968" t="s">
        <v>192</v>
      </c>
      <c r="B968" t="s">
        <v>541</v>
      </c>
      <c r="C968" t="s">
        <v>537</v>
      </c>
      <c r="D968">
        <v>20251231</v>
      </c>
      <c r="E968">
        <v>4</v>
      </c>
      <c r="F968" t="s">
        <v>538</v>
      </c>
      <c r="G968" t="s">
        <v>539</v>
      </c>
      <c r="H968" t="s">
        <v>539</v>
      </c>
      <c r="I968">
        <v>78652000</v>
      </c>
    </row>
    <row r="969" spans="1:9" x14ac:dyDescent="0.25">
      <c r="A969" t="s">
        <v>200</v>
      </c>
      <c r="B969" t="s">
        <v>540</v>
      </c>
      <c r="C969" t="s">
        <v>537</v>
      </c>
      <c r="D969">
        <v>20251231</v>
      </c>
      <c r="E969">
        <v>0</v>
      </c>
      <c r="F969" t="s">
        <v>538</v>
      </c>
      <c r="G969" t="s">
        <v>539</v>
      </c>
      <c r="H969" t="s">
        <v>539</v>
      </c>
      <c r="I969">
        <v>1800579000</v>
      </c>
    </row>
    <row r="970" spans="1:9" x14ac:dyDescent="0.25">
      <c r="A970" t="s">
        <v>200</v>
      </c>
      <c r="B970" t="s">
        <v>544</v>
      </c>
      <c r="C970" t="s">
        <v>537</v>
      </c>
      <c r="D970">
        <v>20251231</v>
      </c>
      <c r="E970">
        <v>0</v>
      </c>
      <c r="F970" t="s">
        <v>538</v>
      </c>
      <c r="G970" t="s">
        <v>539</v>
      </c>
      <c r="H970" t="s">
        <v>539</v>
      </c>
      <c r="I970">
        <v>127575000</v>
      </c>
    </row>
    <row r="971" spans="1:9" x14ac:dyDescent="0.25">
      <c r="A971" t="s">
        <v>194</v>
      </c>
      <c r="B971" t="s">
        <v>544</v>
      </c>
      <c r="C971" t="s">
        <v>537</v>
      </c>
      <c r="D971">
        <v>20251231</v>
      </c>
      <c r="E971">
        <v>0</v>
      </c>
      <c r="F971" t="s">
        <v>538</v>
      </c>
      <c r="G971" t="s">
        <v>539</v>
      </c>
      <c r="H971" t="s">
        <v>539</v>
      </c>
      <c r="I971">
        <v>186196000</v>
      </c>
    </row>
    <row r="972" spans="1:9" x14ac:dyDescent="0.25">
      <c r="A972" t="s">
        <v>196</v>
      </c>
      <c r="B972" t="s">
        <v>543</v>
      </c>
      <c r="C972" t="s">
        <v>537</v>
      </c>
      <c r="D972">
        <v>20251231</v>
      </c>
      <c r="E972">
        <v>4</v>
      </c>
      <c r="F972" t="s">
        <v>538</v>
      </c>
      <c r="G972" t="s">
        <v>539</v>
      </c>
      <c r="H972" t="s">
        <v>539</v>
      </c>
      <c r="I972">
        <v>23913000</v>
      </c>
    </row>
    <row r="973" spans="1:9" x14ac:dyDescent="0.25">
      <c r="A973" t="s">
        <v>160</v>
      </c>
      <c r="B973" t="s">
        <v>540</v>
      </c>
      <c r="C973" t="s">
        <v>537</v>
      </c>
      <c r="D973">
        <v>20251231</v>
      </c>
      <c r="E973">
        <v>0</v>
      </c>
      <c r="F973" t="s">
        <v>538</v>
      </c>
      <c r="G973" t="s">
        <v>539</v>
      </c>
      <c r="H973" t="s">
        <v>539</v>
      </c>
      <c r="I973">
        <v>3606207000</v>
      </c>
    </row>
    <row r="974" spans="1:9" x14ac:dyDescent="0.25">
      <c r="A974" t="s">
        <v>162</v>
      </c>
      <c r="B974" t="s">
        <v>540</v>
      </c>
      <c r="C974" t="s">
        <v>537</v>
      </c>
      <c r="D974">
        <v>20251231</v>
      </c>
      <c r="E974">
        <v>0</v>
      </c>
      <c r="F974" t="s">
        <v>538</v>
      </c>
      <c r="G974" t="s">
        <v>539</v>
      </c>
      <c r="H974" t="s">
        <v>539</v>
      </c>
      <c r="I974">
        <v>3281771000</v>
      </c>
    </row>
    <row r="975" spans="1:9" x14ac:dyDescent="0.25">
      <c r="A975" t="s">
        <v>490</v>
      </c>
      <c r="B975" t="s">
        <v>536</v>
      </c>
      <c r="C975" t="s">
        <v>537</v>
      </c>
      <c r="D975">
        <v>20251231</v>
      </c>
      <c r="E975">
        <v>0</v>
      </c>
      <c r="F975" t="s">
        <v>538</v>
      </c>
      <c r="G975" t="s">
        <v>539</v>
      </c>
      <c r="H975" t="s">
        <v>539</v>
      </c>
      <c r="I975">
        <v>13880672000</v>
      </c>
    </row>
    <row r="976" spans="1:9" x14ac:dyDescent="0.25">
      <c r="A976" t="s">
        <v>162</v>
      </c>
      <c r="B976" t="s">
        <v>542</v>
      </c>
      <c r="C976" t="s">
        <v>537</v>
      </c>
      <c r="D976">
        <v>20251231</v>
      </c>
      <c r="E976">
        <v>4</v>
      </c>
      <c r="F976" t="s">
        <v>538</v>
      </c>
      <c r="G976" t="s">
        <v>539</v>
      </c>
      <c r="H976" t="s">
        <v>539</v>
      </c>
      <c r="I976">
        <v>2.59</v>
      </c>
    </row>
    <row r="977" spans="1:9" x14ac:dyDescent="0.25">
      <c r="A977" t="s">
        <v>490</v>
      </c>
      <c r="B977" t="s">
        <v>544</v>
      </c>
      <c r="C977" t="s">
        <v>537</v>
      </c>
      <c r="D977">
        <v>20251231</v>
      </c>
      <c r="E977">
        <v>0</v>
      </c>
      <c r="F977" t="s">
        <v>538</v>
      </c>
      <c r="G977" t="s">
        <v>539</v>
      </c>
      <c r="H977" t="s">
        <v>539</v>
      </c>
      <c r="I977">
        <v>1249868000</v>
      </c>
    </row>
    <row r="978" spans="1:9" x14ac:dyDescent="0.25">
      <c r="A978" t="s">
        <v>498</v>
      </c>
      <c r="B978" t="s">
        <v>540</v>
      </c>
      <c r="C978" t="s">
        <v>537</v>
      </c>
      <c r="D978">
        <v>20251231</v>
      </c>
      <c r="E978">
        <v>0</v>
      </c>
      <c r="F978" t="s">
        <v>538</v>
      </c>
      <c r="G978" t="s">
        <v>539</v>
      </c>
      <c r="H978" t="s">
        <v>539</v>
      </c>
      <c r="I978">
        <v>1111678000</v>
      </c>
    </row>
    <row r="979" spans="1:9" x14ac:dyDescent="0.25">
      <c r="A979" t="s">
        <v>498</v>
      </c>
      <c r="B979" t="s">
        <v>543</v>
      </c>
      <c r="C979" t="s">
        <v>537</v>
      </c>
      <c r="D979">
        <v>20251231</v>
      </c>
      <c r="E979">
        <v>4</v>
      </c>
      <c r="F979" t="s">
        <v>538</v>
      </c>
      <c r="G979" t="s">
        <v>539</v>
      </c>
      <c r="H979" t="s">
        <v>539</v>
      </c>
      <c r="I979">
        <v>16648000</v>
      </c>
    </row>
    <row r="980" spans="1:9" x14ac:dyDescent="0.25">
      <c r="A980" t="s">
        <v>198</v>
      </c>
      <c r="B980" t="s">
        <v>541</v>
      </c>
      <c r="C980" t="s">
        <v>537</v>
      </c>
      <c r="D980">
        <v>20251231</v>
      </c>
      <c r="E980">
        <v>4</v>
      </c>
      <c r="F980" t="s">
        <v>538</v>
      </c>
      <c r="G980" t="s">
        <v>539</v>
      </c>
      <c r="H980" t="s">
        <v>539</v>
      </c>
      <c r="I980">
        <v>47001000</v>
      </c>
    </row>
    <row r="981" spans="1:9" x14ac:dyDescent="0.25">
      <c r="A981" t="s">
        <v>488</v>
      </c>
      <c r="B981" t="s">
        <v>541</v>
      </c>
      <c r="C981" t="s">
        <v>537</v>
      </c>
      <c r="D981">
        <v>20251231</v>
      </c>
      <c r="E981">
        <v>4</v>
      </c>
      <c r="F981" t="s">
        <v>538</v>
      </c>
      <c r="G981" t="s">
        <v>539</v>
      </c>
      <c r="H981" t="s">
        <v>539</v>
      </c>
      <c r="I981">
        <v>429617000</v>
      </c>
    </row>
    <row r="982" spans="1:9" x14ac:dyDescent="0.25">
      <c r="A982" t="s">
        <v>200</v>
      </c>
      <c r="B982" t="s">
        <v>542</v>
      </c>
      <c r="C982" t="s">
        <v>537</v>
      </c>
      <c r="D982">
        <v>20251231</v>
      </c>
      <c r="E982">
        <v>4</v>
      </c>
      <c r="F982" t="s">
        <v>538</v>
      </c>
      <c r="G982" t="s">
        <v>539</v>
      </c>
      <c r="H982" t="s">
        <v>539</v>
      </c>
      <c r="I982">
        <v>1.79</v>
      </c>
    </row>
    <row r="983" spans="1:9" x14ac:dyDescent="0.25">
      <c r="A983" t="s">
        <v>200</v>
      </c>
      <c r="B983" t="s">
        <v>541</v>
      </c>
      <c r="C983" t="s">
        <v>537</v>
      </c>
      <c r="D983">
        <v>20251231</v>
      </c>
      <c r="E983">
        <v>4</v>
      </c>
      <c r="F983" t="s">
        <v>538</v>
      </c>
      <c r="G983" t="s">
        <v>539</v>
      </c>
      <c r="H983" t="s">
        <v>539</v>
      </c>
      <c r="I983">
        <v>71462000</v>
      </c>
    </row>
    <row r="984" spans="1:9" x14ac:dyDescent="0.25">
      <c r="A984" t="s">
        <v>200</v>
      </c>
      <c r="B984" t="s">
        <v>536</v>
      </c>
      <c r="C984" t="s">
        <v>537</v>
      </c>
      <c r="D984">
        <v>20251231</v>
      </c>
      <c r="E984">
        <v>0</v>
      </c>
      <c r="F984" t="s">
        <v>538</v>
      </c>
      <c r="G984" t="s">
        <v>539</v>
      </c>
      <c r="H984" t="s">
        <v>539</v>
      </c>
      <c r="I984">
        <v>1673004000</v>
      </c>
    </row>
    <row r="985" spans="1:9" x14ac:dyDescent="0.25">
      <c r="A985" t="s">
        <v>202</v>
      </c>
      <c r="B985" t="s">
        <v>542</v>
      </c>
      <c r="C985" t="s">
        <v>537</v>
      </c>
      <c r="D985">
        <v>20251231</v>
      </c>
      <c r="E985">
        <v>4</v>
      </c>
      <c r="F985" t="s">
        <v>538</v>
      </c>
      <c r="G985" t="s">
        <v>539</v>
      </c>
      <c r="H985" t="s">
        <v>539</v>
      </c>
      <c r="I985">
        <v>-6.12</v>
      </c>
    </row>
    <row r="986" spans="1:9" x14ac:dyDescent="0.25">
      <c r="A986" t="s">
        <v>484</v>
      </c>
      <c r="B986" t="s">
        <v>540</v>
      </c>
      <c r="C986" t="s">
        <v>537</v>
      </c>
      <c r="D986">
        <v>20251231</v>
      </c>
      <c r="E986">
        <v>0</v>
      </c>
      <c r="F986" t="s">
        <v>538</v>
      </c>
      <c r="G986" t="s">
        <v>539</v>
      </c>
      <c r="H986" t="s">
        <v>539</v>
      </c>
      <c r="I986">
        <v>9536124000</v>
      </c>
    </row>
    <row r="987" spans="1:9" x14ac:dyDescent="0.25">
      <c r="A987" t="s">
        <v>484</v>
      </c>
      <c r="B987" t="s">
        <v>541</v>
      </c>
      <c r="C987" t="s">
        <v>537</v>
      </c>
      <c r="D987">
        <v>20251231</v>
      </c>
      <c r="E987">
        <v>4</v>
      </c>
      <c r="F987" t="s">
        <v>538</v>
      </c>
      <c r="G987" t="s">
        <v>539</v>
      </c>
      <c r="H987" t="s">
        <v>539</v>
      </c>
      <c r="I987">
        <v>467589000</v>
      </c>
    </row>
    <row r="988" spans="1:9" x14ac:dyDescent="0.25">
      <c r="A988" t="s">
        <v>484</v>
      </c>
      <c r="B988" t="s">
        <v>544</v>
      </c>
      <c r="C988" t="s">
        <v>537</v>
      </c>
      <c r="D988">
        <v>20251231</v>
      </c>
      <c r="E988">
        <v>0</v>
      </c>
      <c r="F988" t="s">
        <v>538</v>
      </c>
      <c r="G988" t="s">
        <v>539</v>
      </c>
      <c r="H988" t="s">
        <v>539</v>
      </c>
      <c r="I988">
        <v>1075697000</v>
      </c>
    </row>
    <row r="989" spans="1:9" x14ac:dyDescent="0.25">
      <c r="A989" t="s">
        <v>494</v>
      </c>
      <c r="B989" t="s">
        <v>542</v>
      </c>
      <c r="C989" t="s">
        <v>537</v>
      </c>
      <c r="D989">
        <v>20251231</v>
      </c>
      <c r="E989">
        <v>4</v>
      </c>
      <c r="F989" t="s">
        <v>538</v>
      </c>
      <c r="G989" t="s">
        <v>539</v>
      </c>
      <c r="H989" t="s">
        <v>539</v>
      </c>
      <c r="I989">
        <v>1.99</v>
      </c>
    </row>
    <row r="990" spans="1:9" x14ac:dyDescent="0.25">
      <c r="A990" t="s">
        <v>486</v>
      </c>
      <c r="B990" t="s">
        <v>543</v>
      </c>
      <c r="C990" t="s">
        <v>537</v>
      </c>
      <c r="D990">
        <v>20251231</v>
      </c>
      <c r="E990">
        <v>4</v>
      </c>
      <c r="F990" t="s">
        <v>538</v>
      </c>
      <c r="G990" t="s">
        <v>539</v>
      </c>
      <c r="H990" t="s">
        <v>539</v>
      </c>
      <c r="I990">
        <v>88753000</v>
      </c>
    </row>
    <row r="991" spans="1:9" x14ac:dyDescent="0.25">
      <c r="A991" t="s">
        <v>164</v>
      </c>
      <c r="B991" t="s">
        <v>540</v>
      </c>
      <c r="C991" t="s">
        <v>537</v>
      </c>
      <c r="D991">
        <v>20251231</v>
      </c>
      <c r="E991">
        <v>0</v>
      </c>
      <c r="F991" t="s">
        <v>538</v>
      </c>
      <c r="G991" t="s">
        <v>539</v>
      </c>
      <c r="H991" t="s">
        <v>539</v>
      </c>
      <c r="I991">
        <v>24229575000</v>
      </c>
    </row>
    <row r="992" spans="1:9" x14ac:dyDescent="0.25">
      <c r="A992" t="s">
        <v>164</v>
      </c>
      <c r="B992" t="s">
        <v>542</v>
      </c>
      <c r="C992" t="s">
        <v>537</v>
      </c>
      <c r="D992">
        <v>20251231</v>
      </c>
      <c r="E992">
        <v>4</v>
      </c>
      <c r="F992" t="s">
        <v>538</v>
      </c>
      <c r="G992" t="s">
        <v>539</v>
      </c>
      <c r="H992" t="s">
        <v>539</v>
      </c>
      <c r="I992">
        <v>4.55</v>
      </c>
    </row>
    <row r="993" spans="1:9" x14ac:dyDescent="0.25">
      <c r="A993" t="s">
        <v>168</v>
      </c>
      <c r="B993" t="s">
        <v>541</v>
      </c>
      <c r="C993" t="s">
        <v>537</v>
      </c>
      <c r="D993">
        <v>20251231</v>
      </c>
      <c r="E993">
        <v>4</v>
      </c>
      <c r="F993" t="s">
        <v>538</v>
      </c>
      <c r="G993" t="s">
        <v>539</v>
      </c>
      <c r="H993" t="s">
        <v>539</v>
      </c>
      <c r="I993">
        <v>233792000</v>
      </c>
    </row>
    <row r="994" spans="1:9" x14ac:dyDescent="0.25">
      <c r="A994" t="s">
        <v>496</v>
      </c>
      <c r="B994" t="s">
        <v>540</v>
      </c>
      <c r="C994" t="s">
        <v>537</v>
      </c>
      <c r="D994">
        <v>20251231</v>
      </c>
      <c r="E994">
        <v>0</v>
      </c>
      <c r="F994" t="s">
        <v>538</v>
      </c>
      <c r="G994" t="s">
        <v>539</v>
      </c>
      <c r="H994" t="s">
        <v>539</v>
      </c>
      <c r="I994">
        <v>24895868000</v>
      </c>
    </row>
    <row r="995" spans="1:9" x14ac:dyDescent="0.25">
      <c r="A995" t="s">
        <v>496</v>
      </c>
      <c r="B995" t="s">
        <v>544</v>
      </c>
      <c r="C995" t="s">
        <v>537</v>
      </c>
      <c r="D995">
        <v>20251231</v>
      </c>
      <c r="E995">
        <v>0</v>
      </c>
      <c r="F995" t="s">
        <v>538</v>
      </c>
      <c r="G995" t="s">
        <v>539</v>
      </c>
      <c r="H995" t="s">
        <v>539</v>
      </c>
      <c r="I995">
        <v>2115517000</v>
      </c>
    </row>
    <row r="996" spans="1:9" x14ac:dyDescent="0.25">
      <c r="A996" t="s">
        <v>174</v>
      </c>
      <c r="B996" t="s">
        <v>540</v>
      </c>
      <c r="C996" t="s">
        <v>537</v>
      </c>
      <c r="D996">
        <v>20251231</v>
      </c>
      <c r="E996">
        <v>0</v>
      </c>
      <c r="F996" t="s">
        <v>538</v>
      </c>
      <c r="G996" t="s">
        <v>539</v>
      </c>
      <c r="H996" t="s">
        <v>539</v>
      </c>
      <c r="I996">
        <v>4208294000</v>
      </c>
    </row>
    <row r="997" spans="1:9" x14ac:dyDescent="0.25">
      <c r="A997" t="s">
        <v>174</v>
      </c>
      <c r="B997" t="s">
        <v>542</v>
      </c>
      <c r="C997" t="s">
        <v>537</v>
      </c>
      <c r="D997">
        <v>20251231</v>
      </c>
      <c r="E997">
        <v>4</v>
      </c>
      <c r="F997" t="s">
        <v>538</v>
      </c>
      <c r="G997" t="s">
        <v>539</v>
      </c>
      <c r="H997" t="s">
        <v>539</v>
      </c>
      <c r="I997">
        <v>1.83</v>
      </c>
    </row>
    <row r="998" spans="1:9" x14ac:dyDescent="0.25">
      <c r="A998" t="s">
        <v>204</v>
      </c>
      <c r="B998" t="s">
        <v>541</v>
      </c>
      <c r="C998" t="s">
        <v>537</v>
      </c>
      <c r="D998">
        <v>20251231</v>
      </c>
      <c r="E998">
        <v>4</v>
      </c>
      <c r="F998" t="s">
        <v>538</v>
      </c>
      <c r="G998" t="s">
        <v>539</v>
      </c>
      <c r="H998" t="s">
        <v>539</v>
      </c>
      <c r="I998">
        <v>82028000</v>
      </c>
    </row>
    <row r="999" spans="1:9" x14ac:dyDescent="0.25">
      <c r="A999" t="s">
        <v>204</v>
      </c>
      <c r="B999" t="s">
        <v>543</v>
      </c>
      <c r="C999" t="s">
        <v>537</v>
      </c>
      <c r="D999">
        <v>20251231</v>
      </c>
      <c r="E999">
        <v>4</v>
      </c>
      <c r="F999" t="s">
        <v>538</v>
      </c>
      <c r="G999" t="s">
        <v>539</v>
      </c>
      <c r="H999" t="s">
        <v>539</v>
      </c>
      <c r="I999">
        <v>13663000</v>
      </c>
    </row>
    <row r="1000" spans="1:9" x14ac:dyDescent="0.25">
      <c r="A1000" t="s">
        <v>176</v>
      </c>
      <c r="B1000" t="s">
        <v>543</v>
      </c>
      <c r="C1000" t="s">
        <v>537</v>
      </c>
      <c r="D1000">
        <v>20251231</v>
      </c>
      <c r="E1000">
        <v>4</v>
      </c>
      <c r="F1000" t="s">
        <v>538</v>
      </c>
      <c r="G1000" t="s">
        <v>539</v>
      </c>
      <c r="H1000" t="s">
        <v>539</v>
      </c>
      <c r="I1000">
        <v>37775000</v>
      </c>
    </row>
    <row r="1001" spans="1:9" x14ac:dyDescent="0.25">
      <c r="A1001" t="s">
        <v>176</v>
      </c>
      <c r="B1001" t="s">
        <v>544</v>
      </c>
      <c r="C1001" t="s">
        <v>537</v>
      </c>
      <c r="D1001">
        <v>20251231</v>
      </c>
      <c r="E1001">
        <v>0</v>
      </c>
      <c r="F1001" t="s">
        <v>538</v>
      </c>
      <c r="G1001" t="s">
        <v>539</v>
      </c>
      <c r="H1001" t="s">
        <v>539</v>
      </c>
      <c r="I1001">
        <v>324518000</v>
      </c>
    </row>
    <row r="1002" spans="1:9" x14ac:dyDescent="0.25">
      <c r="A1002" t="s">
        <v>178</v>
      </c>
      <c r="B1002" t="s">
        <v>542</v>
      </c>
      <c r="C1002" t="s">
        <v>537</v>
      </c>
      <c r="D1002">
        <v>20251231</v>
      </c>
      <c r="E1002">
        <v>4</v>
      </c>
      <c r="F1002" t="s">
        <v>538</v>
      </c>
      <c r="G1002" t="s">
        <v>539</v>
      </c>
      <c r="H1002" t="s">
        <v>539</v>
      </c>
      <c r="I1002">
        <v>1.63</v>
      </c>
    </row>
    <row r="1003" spans="1:9" x14ac:dyDescent="0.25">
      <c r="A1003" t="s">
        <v>180</v>
      </c>
      <c r="B1003" t="s">
        <v>542</v>
      </c>
      <c r="C1003" t="s">
        <v>537</v>
      </c>
      <c r="D1003">
        <v>20251231</v>
      </c>
      <c r="E1003">
        <v>4</v>
      </c>
      <c r="F1003" t="s">
        <v>538</v>
      </c>
      <c r="G1003" t="s">
        <v>539</v>
      </c>
      <c r="H1003" t="s">
        <v>539</v>
      </c>
      <c r="I1003">
        <v>2.14</v>
      </c>
    </row>
    <row r="1004" spans="1:9" x14ac:dyDescent="0.25">
      <c r="A1004" t="s">
        <v>184</v>
      </c>
      <c r="B1004" t="s">
        <v>541</v>
      </c>
      <c r="C1004" t="s">
        <v>537</v>
      </c>
      <c r="D1004">
        <v>20251231</v>
      </c>
      <c r="E1004">
        <v>4</v>
      </c>
      <c r="F1004" t="s">
        <v>538</v>
      </c>
      <c r="G1004" t="s">
        <v>539</v>
      </c>
      <c r="H1004" t="s">
        <v>539</v>
      </c>
      <c r="I1004">
        <v>119839000</v>
      </c>
    </row>
    <row r="1005" spans="1:9" x14ac:dyDescent="0.25">
      <c r="A1005" t="s">
        <v>184</v>
      </c>
      <c r="B1005" t="s">
        <v>536</v>
      </c>
      <c r="C1005" t="s">
        <v>537</v>
      </c>
      <c r="D1005">
        <v>20251231</v>
      </c>
      <c r="E1005">
        <v>0</v>
      </c>
      <c r="F1005" t="s">
        <v>538</v>
      </c>
      <c r="G1005" t="s">
        <v>539</v>
      </c>
      <c r="H1005" t="s">
        <v>539</v>
      </c>
      <c r="I1005">
        <v>2509198000</v>
      </c>
    </row>
    <row r="1006" spans="1:9" x14ac:dyDescent="0.25">
      <c r="A1006" t="s">
        <v>188</v>
      </c>
      <c r="B1006" t="s">
        <v>541</v>
      </c>
      <c r="C1006" t="s">
        <v>537</v>
      </c>
      <c r="D1006">
        <v>20251231</v>
      </c>
      <c r="E1006">
        <v>4</v>
      </c>
      <c r="F1006" t="s">
        <v>538</v>
      </c>
      <c r="G1006" t="s">
        <v>539</v>
      </c>
      <c r="H1006" t="s">
        <v>539</v>
      </c>
      <c r="I1006">
        <v>145750000</v>
      </c>
    </row>
    <row r="1007" spans="1:9" x14ac:dyDescent="0.25">
      <c r="A1007" t="s">
        <v>496</v>
      </c>
      <c r="B1007" t="s">
        <v>541</v>
      </c>
      <c r="C1007" t="s">
        <v>537</v>
      </c>
      <c r="D1007">
        <v>20251231</v>
      </c>
      <c r="E1007">
        <v>4</v>
      </c>
      <c r="F1007" t="s">
        <v>538</v>
      </c>
      <c r="G1007" t="s">
        <v>539</v>
      </c>
      <c r="H1007" t="s">
        <v>539</v>
      </c>
      <c r="I1007">
        <v>1359587000</v>
      </c>
    </row>
    <row r="1008" spans="1:9" x14ac:dyDescent="0.25">
      <c r="A1008" t="s">
        <v>190</v>
      </c>
      <c r="B1008" t="s">
        <v>543</v>
      </c>
      <c r="C1008" t="s">
        <v>537</v>
      </c>
      <c r="D1008">
        <v>20251231</v>
      </c>
      <c r="E1008">
        <v>4</v>
      </c>
      <c r="F1008" t="s">
        <v>538</v>
      </c>
      <c r="G1008" t="s">
        <v>539</v>
      </c>
      <c r="H1008" t="s">
        <v>539</v>
      </c>
      <c r="I1008">
        <v>15842000</v>
      </c>
    </row>
    <row r="1009" spans="1:9" x14ac:dyDescent="0.25">
      <c r="A1009" t="s">
        <v>198</v>
      </c>
      <c r="B1009" t="s">
        <v>543</v>
      </c>
      <c r="C1009" t="s">
        <v>537</v>
      </c>
      <c r="D1009">
        <v>20251231</v>
      </c>
      <c r="E1009">
        <v>4</v>
      </c>
      <c r="F1009" t="s">
        <v>538</v>
      </c>
      <c r="G1009" t="s">
        <v>539</v>
      </c>
      <c r="H1009" t="s">
        <v>539</v>
      </c>
      <c r="I1009">
        <v>22888000</v>
      </c>
    </row>
    <row r="1010" spans="1:9" x14ac:dyDescent="0.25">
      <c r="A1010" t="s">
        <v>448</v>
      </c>
      <c r="B1010" t="s">
        <v>536</v>
      </c>
      <c r="C1010" t="s">
        <v>537</v>
      </c>
      <c r="D1010">
        <v>20251231</v>
      </c>
      <c r="E1010">
        <v>0</v>
      </c>
      <c r="F1010" t="s">
        <v>538</v>
      </c>
      <c r="G1010" t="s">
        <v>539</v>
      </c>
      <c r="H1010" t="s">
        <v>539</v>
      </c>
      <c r="I1010">
        <v>13529159000</v>
      </c>
    </row>
    <row r="1011" spans="1:9" x14ac:dyDescent="0.25">
      <c r="A1011" t="s">
        <v>200</v>
      </c>
      <c r="B1011" t="s">
        <v>543</v>
      </c>
      <c r="C1011" t="s">
        <v>537</v>
      </c>
      <c r="D1011">
        <v>20251231</v>
      </c>
      <c r="E1011">
        <v>4</v>
      </c>
      <c r="F1011" t="s">
        <v>538</v>
      </c>
      <c r="G1011" t="s">
        <v>539</v>
      </c>
      <c r="H1011" t="s">
        <v>539</v>
      </c>
      <c r="I1011">
        <v>13697000</v>
      </c>
    </row>
    <row r="1012" spans="1:9" x14ac:dyDescent="0.25">
      <c r="A1012" t="s">
        <v>202</v>
      </c>
      <c r="B1012" t="s">
        <v>540</v>
      </c>
      <c r="C1012" t="s">
        <v>537</v>
      </c>
      <c r="D1012">
        <v>20251231</v>
      </c>
      <c r="E1012">
        <v>0</v>
      </c>
      <c r="F1012" t="s">
        <v>538</v>
      </c>
      <c r="G1012" t="s">
        <v>539</v>
      </c>
      <c r="H1012" t="s">
        <v>539</v>
      </c>
      <c r="I1012">
        <v>6513420000</v>
      </c>
    </row>
    <row r="1013" spans="1:9" x14ac:dyDescent="0.25">
      <c r="A1013" t="s">
        <v>202</v>
      </c>
      <c r="B1013" t="s">
        <v>543</v>
      </c>
      <c r="C1013" t="s">
        <v>537</v>
      </c>
      <c r="D1013">
        <v>20251231</v>
      </c>
      <c r="E1013">
        <v>4</v>
      </c>
      <c r="F1013" t="s">
        <v>538</v>
      </c>
      <c r="G1013" t="s">
        <v>539</v>
      </c>
      <c r="H1013" t="s">
        <v>539</v>
      </c>
      <c r="I1013">
        <v>-124281000</v>
      </c>
    </row>
    <row r="1014" spans="1:9" x14ac:dyDescent="0.25">
      <c r="A1014" t="s">
        <v>202</v>
      </c>
      <c r="B1014" t="s">
        <v>544</v>
      </c>
      <c r="C1014" t="s">
        <v>537</v>
      </c>
      <c r="D1014">
        <v>20251231</v>
      </c>
      <c r="E1014">
        <v>0</v>
      </c>
      <c r="F1014" t="s">
        <v>538</v>
      </c>
      <c r="G1014" t="s">
        <v>539</v>
      </c>
      <c r="H1014" t="s">
        <v>539</v>
      </c>
      <c r="I1014">
        <v>565499000</v>
      </c>
    </row>
    <row r="1015" spans="1:9" x14ac:dyDescent="0.25">
      <c r="A1015" t="s">
        <v>492</v>
      </c>
      <c r="B1015" t="s">
        <v>543</v>
      </c>
      <c r="C1015" t="s">
        <v>537</v>
      </c>
      <c r="D1015">
        <v>20251231</v>
      </c>
      <c r="E1015">
        <v>4</v>
      </c>
      <c r="F1015" t="s">
        <v>538</v>
      </c>
      <c r="G1015" t="s">
        <v>539</v>
      </c>
      <c r="H1015" t="s">
        <v>539</v>
      </c>
      <c r="I1015">
        <v>126013000</v>
      </c>
    </row>
    <row r="1016" spans="1:9" x14ac:dyDescent="0.25">
      <c r="A1016" t="s">
        <v>492</v>
      </c>
      <c r="B1016" t="s">
        <v>544</v>
      </c>
      <c r="C1016" t="s">
        <v>537</v>
      </c>
      <c r="D1016">
        <v>20251231</v>
      </c>
      <c r="E1016">
        <v>0</v>
      </c>
      <c r="F1016" t="s">
        <v>538</v>
      </c>
      <c r="G1016" t="s">
        <v>539</v>
      </c>
      <c r="H1016" t="s">
        <v>539</v>
      </c>
      <c r="I1016">
        <v>1890424000</v>
      </c>
    </row>
    <row r="1017" spans="1:9" x14ac:dyDescent="0.25">
      <c r="A1017" t="s">
        <v>148</v>
      </c>
      <c r="B1017" t="s">
        <v>542</v>
      </c>
      <c r="C1017" t="s">
        <v>537</v>
      </c>
      <c r="D1017">
        <v>20251231</v>
      </c>
      <c r="E1017">
        <v>4</v>
      </c>
      <c r="F1017" t="s">
        <v>538</v>
      </c>
      <c r="G1017" t="s">
        <v>539</v>
      </c>
      <c r="H1017" t="s">
        <v>539</v>
      </c>
      <c r="I1017">
        <v>2.19</v>
      </c>
    </row>
    <row r="1018" spans="1:9" x14ac:dyDescent="0.25">
      <c r="A1018" t="s">
        <v>208</v>
      </c>
      <c r="B1018" t="s">
        <v>544</v>
      </c>
      <c r="C1018" t="s">
        <v>537</v>
      </c>
      <c r="D1018">
        <v>20251231</v>
      </c>
      <c r="E1018">
        <v>0</v>
      </c>
      <c r="F1018" t="s">
        <v>538</v>
      </c>
      <c r="G1018" t="s">
        <v>539</v>
      </c>
      <c r="H1018" t="s">
        <v>539</v>
      </c>
      <c r="I1018">
        <v>2862375000</v>
      </c>
    </row>
    <row r="1019" spans="1:9" x14ac:dyDescent="0.25">
      <c r="A1019" t="s">
        <v>150</v>
      </c>
      <c r="B1019" t="s">
        <v>541</v>
      </c>
      <c r="C1019" t="s">
        <v>537</v>
      </c>
      <c r="D1019">
        <v>20251231</v>
      </c>
      <c r="E1019">
        <v>4</v>
      </c>
      <c r="F1019" t="s">
        <v>538</v>
      </c>
      <c r="G1019" t="s">
        <v>539</v>
      </c>
      <c r="H1019" t="s">
        <v>539</v>
      </c>
      <c r="I1019">
        <v>121604088</v>
      </c>
    </row>
    <row r="1020" spans="1:9" x14ac:dyDescent="0.25">
      <c r="A1020" t="s">
        <v>502</v>
      </c>
      <c r="B1020" t="s">
        <v>536</v>
      </c>
      <c r="C1020" t="s">
        <v>537</v>
      </c>
      <c r="D1020">
        <v>20251231</v>
      </c>
      <c r="E1020">
        <v>0</v>
      </c>
      <c r="F1020" t="s">
        <v>538</v>
      </c>
      <c r="G1020" t="s">
        <v>539</v>
      </c>
      <c r="H1020" t="s">
        <v>539</v>
      </c>
      <c r="I1020">
        <v>5438817000</v>
      </c>
    </row>
    <row r="1021" spans="1:9" x14ac:dyDescent="0.25">
      <c r="A1021" t="s">
        <v>498</v>
      </c>
      <c r="B1021" t="s">
        <v>544</v>
      </c>
      <c r="C1021" t="s">
        <v>537</v>
      </c>
      <c r="D1021">
        <v>20251231</v>
      </c>
      <c r="E1021">
        <v>0</v>
      </c>
      <c r="F1021" t="s">
        <v>538</v>
      </c>
      <c r="G1021" t="s">
        <v>539</v>
      </c>
      <c r="H1021" t="s">
        <v>539</v>
      </c>
      <c r="I1021">
        <v>121897000</v>
      </c>
    </row>
    <row r="1022" spans="1:9" x14ac:dyDescent="0.25">
      <c r="A1022" t="s">
        <v>206</v>
      </c>
      <c r="B1022" t="s">
        <v>541</v>
      </c>
      <c r="C1022" t="s">
        <v>537</v>
      </c>
      <c r="D1022">
        <v>20251231</v>
      </c>
      <c r="E1022">
        <v>4</v>
      </c>
      <c r="F1022" t="s">
        <v>538</v>
      </c>
      <c r="G1022" t="s">
        <v>539</v>
      </c>
      <c r="H1022" t="s">
        <v>539</v>
      </c>
      <c r="I1022">
        <v>198327000</v>
      </c>
    </row>
    <row r="1023" spans="1:9" x14ac:dyDescent="0.25">
      <c r="A1023" t="s">
        <v>450</v>
      </c>
      <c r="B1023" t="s">
        <v>541</v>
      </c>
      <c r="C1023" t="s">
        <v>537</v>
      </c>
      <c r="D1023">
        <v>20251231</v>
      </c>
      <c r="E1023">
        <v>4</v>
      </c>
      <c r="F1023" t="s">
        <v>538</v>
      </c>
      <c r="G1023" t="s">
        <v>539</v>
      </c>
      <c r="H1023" t="s">
        <v>539</v>
      </c>
      <c r="I1023">
        <v>760254000</v>
      </c>
    </row>
    <row r="1024" spans="1:9" x14ac:dyDescent="0.25">
      <c r="A1024" t="s">
        <v>452</v>
      </c>
      <c r="B1024" t="s">
        <v>542</v>
      </c>
      <c r="C1024" t="s">
        <v>537</v>
      </c>
      <c r="D1024">
        <v>20251231</v>
      </c>
      <c r="E1024">
        <v>4</v>
      </c>
      <c r="F1024" t="s">
        <v>538</v>
      </c>
      <c r="G1024" t="s">
        <v>539</v>
      </c>
      <c r="H1024" t="s">
        <v>539</v>
      </c>
      <c r="I1024">
        <v>9.35</v>
      </c>
    </row>
    <row r="1025" spans="1:9" x14ac:dyDescent="0.25">
      <c r="A1025" t="s">
        <v>498</v>
      </c>
      <c r="B1025" t="s">
        <v>542</v>
      </c>
      <c r="C1025" t="s">
        <v>537</v>
      </c>
      <c r="D1025">
        <v>20251231</v>
      </c>
      <c r="E1025">
        <v>4</v>
      </c>
      <c r="F1025" t="s">
        <v>538</v>
      </c>
      <c r="G1025" t="s">
        <v>539</v>
      </c>
      <c r="H1025" t="s">
        <v>539</v>
      </c>
      <c r="I1025">
        <v>1.42</v>
      </c>
    </row>
    <row r="1026" spans="1:9" x14ac:dyDescent="0.25">
      <c r="A1026" t="s">
        <v>498</v>
      </c>
      <c r="B1026" t="s">
        <v>536</v>
      </c>
      <c r="C1026" t="s">
        <v>537</v>
      </c>
      <c r="D1026">
        <v>20251231</v>
      </c>
      <c r="E1026">
        <v>0</v>
      </c>
      <c r="F1026" t="s">
        <v>538</v>
      </c>
      <c r="G1026" t="s">
        <v>539</v>
      </c>
      <c r="H1026" t="s">
        <v>539</v>
      </c>
      <c r="I1026">
        <v>989781000</v>
      </c>
    </row>
    <row r="1027" spans="1:9" x14ac:dyDescent="0.25">
      <c r="A1027" t="s">
        <v>208</v>
      </c>
      <c r="B1027" t="s">
        <v>543</v>
      </c>
      <c r="C1027" t="s">
        <v>537</v>
      </c>
      <c r="D1027">
        <v>20251231</v>
      </c>
      <c r="E1027">
        <v>4</v>
      </c>
      <c r="F1027" t="s">
        <v>538</v>
      </c>
      <c r="G1027" t="s">
        <v>539</v>
      </c>
      <c r="H1027" t="s">
        <v>539</v>
      </c>
      <c r="I1027">
        <v>265739000</v>
      </c>
    </row>
    <row r="1028" spans="1:9" x14ac:dyDescent="0.25">
      <c r="A1028" t="s">
        <v>210</v>
      </c>
      <c r="B1028" t="s">
        <v>540</v>
      </c>
      <c r="C1028" t="s">
        <v>537</v>
      </c>
      <c r="D1028">
        <v>20251231</v>
      </c>
      <c r="E1028">
        <v>0</v>
      </c>
      <c r="F1028" t="s">
        <v>538</v>
      </c>
      <c r="G1028" t="s">
        <v>539</v>
      </c>
      <c r="H1028" t="s">
        <v>539</v>
      </c>
      <c r="I1028">
        <v>2057732000</v>
      </c>
    </row>
    <row r="1029" spans="1:9" x14ac:dyDescent="0.25">
      <c r="A1029" t="s">
        <v>204</v>
      </c>
      <c r="B1029" t="s">
        <v>536</v>
      </c>
      <c r="C1029" t="s">
        <v>537</v>
      </c>
      <c r="D1029">
        <v>20251231</v>
      </c>
      <c r="E1029">
        <v>0</v>
      </c>
      <c r="F1029" t="s">
        <v>538</v>
      </c>
      <c r="G1029" t="s">
        <v>539</v>
      </c>
      <c r="H1029" t="s">
        <v>539</v>
      </c>
      <c r="I1029">
        <v>1437950000</v>
      </c>
    </row>
    <row r="1030" spans="1:9" x14ac:dyDescent="0.25">
      <c r="A1030" t="s">
        <v>214</v>
      </c>
      <c r="B1030" t="s">
        <v>536</v>
      </c>
      <c r="C1030" t="s">
        <v>537</v>
      </c>
      <c r="D1030">
        <v>20251231</v>
      </c>
      <c r="E1030">
        <v>0</v>
      </c>
      <c r="F1030" t="s">
        <v>538</v>
      </c>
      <c r="G1030" t="s">
        <v>539</v>
      </c>
      <c r="H1030" t="s">
        <v>539</v>
      </c>
      <c r="I1030">
        <v>2574357000</v>
      </c>
    </row>
    <row r="1031" spans="1:9" x14ac:dyDescent="0.25">
      <c r="A1031" t="s">
        <v>214</v>
      </c>
      <c r="B1031" t="s">
        <v>544</v>
      </c>
      <c r="C1031" t="s">
        <v>537</v>
      </c>
      <c r="D1031">
        <v>20251231</v>
      </c>
      <c r="E1031">
        <v>0</v>
      </c>
      <c r="F1031" t="s">
        <v>538</v>
      </c>
      <c r="G1031" t="s">
        <v>539</v>
      </c>
      <c r="H1031" t="s">
        <v>539</v>
      </c>
      <c r="I1031">
        <v>217183000</v>
      </c>
    </row>
    <row r="1032" spans="1:9" x14ac:dyDescent="0.25">
      <c r="A1032" t="s">
        <v>210</v>
      </c>
      <c r="B1032" t="s">
        <v>536</v>
      </c>
      <c r="C1032" t="s">
        <v>537</v>
      </c>
      <c r="D1032">
        <v>20251231</v>
      </c>
      <c r="E1032">
        <v>0</v>
      </c>
      <c r="F1032" t="s">
        <v>538</v>
      </c>
      <c r="G1032" t="s">
        <v>539</v>
      </c>
      <c r="H1032" t="s">
        <v>539</v>
      </c>
      <c r="I1032">
        <v>1890175000</v>
      </c>
    </row>
    <row r="1033" spans="1:9" x14ac:dyDescent="0.25">
      <c r="A1033" t="s">
        <v>210</v>
      </c>
      <c r="B1033" t="s">
        <v>543</v>
      </c>
      <c r="C1033" t="s">
        <v>537</v>
      </c>
      <c r="D1033">
        <v>20251231</v>
      </c>
      <c r="E1033">
        <v>4</v>
      </c>
      <c r="F1033" t="s">
        <v>538</v>
      </c>
      <c r="G1033" t="s">
        <v>539</v>
      </c>
      <c r="H1033" t="s">
        <v>539</v>
      </c>
      <c r="I1033">
        <v>19205000</v>
      </c>
    </row>
    <row r="1034" spans="1:9" x14ac:dyDescent="0.25">
      <c r="A1034" t="s">
        <v>152</v>
      </c>
      <c r="B1034" t="s">
        <v>542</v>
      </c>
      <c r="C1034" t="s">
        <v>537</v>
      </c>
      <c r="D1034">
        <v>20251231</v>
      </c>
      <c r="E1034">
        <v>4</v>
      </c>
      <c r="F1034" t="s">
        <v>538</v>
      </c>
      <c r="G1034" t="s">
        <v>539</v>
      </c>
      <c r="H1034" t="s">
        <v>539</v>
      </c>
      <c r="I1034">
        <v>1.99</v>
      </c>
    </row>
    <row r="1035" spans="1:9" x14ac:dyDescent="0.25">
      <c r="A1035" t="s">
        <v>214</v>
      </c>
      <c r="B1035" t="s">
        <v>542</v>
      </c>
      <c r="C1035" t="s">
        <v>537</v>
      </c>
      <c r="D1035">
        <v>20251231</v>
      </c>
      <c r="E1035">
        <v>4</v>
      </c>
      <c r="F1035" t="s">
        <v>538</v>
      </c>
      <c r="G1035" t="s">
        <v>539</v>
      </c>
      <c r="H1035" t="s">
        <v>539</v>
      </c>
      <c r="I1035">
        <v>1.34</v>
      </c>
    </row>
    <row r="1036" spans="1:9" x14ac:dyDescent="0.25">
      <c r="A1036" t="s">
        <v>458</v>
      </c>
      <c r="B1036" t="s">
        <v>544</v>
      </c>
      <c r="C1036" t="s">
        <v>537</v>
      </c>
      <c r="D1036">
        <v>20251231</v>
      </c>
      <c r="E1036">
        <v>0</v>
      </c>
      <c r="F1036" t="s">
        <v>538</v>
      </c>
      <c r="G1036" t="s">
        <v>539</v>
      </c>
      <c r="H1036" t="s">
        <v>539</v>
      </c>
      <c r="I1036">
        <v>958692000</v>
      </c>
    </row>
    <row r="1037" spans="1:9" x14ac:dyDescent="0.25">
      <c r="A1037" t="s">
        <v>460</v>
      </c>
      <c r="B1037" t="s">
        <v>542</v>
      </c>
      <c r="C1037" t="s">
        <v>537</v>
      </c>
      <c r="D1037">
        <v>20251231</v>
      </c>
      <c r="E1037">
        <v>4</v>
      </c>
      <c r="F1037" t="s">
        <v>538</v>
      </c>
      <c r="G1037" t="s">
        <v>539</v>
      </c>
      <c r="H1037" t="s">
        <v>539</v>
      </c>
      <c r="I1037">
        <v>3.28</v>
      </c>
    </row>
    <row r="1038" spans="1:9" x14ac:dyDescent="0.25">
      <c r="A1038" t="s">
        <v>460</v>
      </c>
      <c r="B1038" t="s">
        <v>543</v>
      </c>
      <c r="C1038" t="s">
        <v>537</v>
      </c>
      <c r="D1038">
        <v>20251231</v>
      </c>
      <c r="E1038">
        <v>4</v>
      </c>
      <c r="F1038" t="s">
        <v>538</v>
      </c>
      <c r="G1038" t="s">
        <v>539</v>
      </c>
      <c r="H1038" t="s">
        <v>539</v>
      </c>
      <c r="I1038">
        <v>464603000</v>
      </c>
    </row>
    <row r="1039" spans="1:9" x14ac:dyDescent="0.25">
      <c r="A1039" t="s">
        <v>460</v>
      </c>
      <c r="B1039" t="s">
        <v>544</v>
      </c>
      <c r="C1039" t="s">
        <v>537</v>
      </c>
      <c r="D1039">
        <v>20251231</v>
      </c>
      <c r="E1039">
        <v>0</v>
      </c>
      <c r="F1039" t="s">
        <v>538</v>
      </c>
      <c r="G1039" t="s">
        <v>539</v>
      </c>
      <c r="H1039" t="s">
        <v>539</v>
      </c>
      <c r="I1039">
        <v>5495983000</v>
      </c>
    </row>
    <row r="1040" spans="1:9" x14ac:dyDescent="0.25">
      <c r="A1040" t="s">
        <v>204</v>
      </c>
      <c r="B1040" t="s">
        <v>540</v>
      </c>
      <c r="C1040" t="s">
        <v>537</v>
      </c>
      <c r="D1040">
        <v>20251231</v>
      </c>
      <c r="E1040">
        <v>0</v>
      </c>
      <c r="F1040" t="s">
        <v>538</v>
      </c>
      <c r="G1040" t="s">
        <v>539</v>
      </c>
      <c r="H1040" t="s">
        <v>539</v>
      </c>
      <c r="I1040">
        <v>1595721000</v>
      </c>
    </row>
    <row r="1041" spans="1:9" x14ac:dyDescent="0.25">
      <c r="A1041" t="s">
        <v>204</v>
      </c>
      <c r="B1041" t="s">
        <v>544</v>
      </c>
      <c r="C1041" t="s">
        <v>537</v>
      </c>
      <c r="D1041">
        <v>20251231</v>
      </c>
      <c r="E1041">
        <v>0</v>
      </c>
      <c r="F1041" t="s">
        <v>538</v>
      </c>
      <c r="G1041" t="s">
        <v>539</v>
      </c>
      <c r="H1041" t="s">
        <v>539</v>
      </c>
      <c r="I1041">
        <v>157771000</v>
      </c>
    </row>
    <row r="1042" spans="1:9" x14ac:dyDescent="0.25">
      <c r="A1042" t="s">
        <v>464</v>
      </c>
      <c r="B1042" t="s">
        <v>543</v>
      </c>
      <c r="C1042" t="s">
        <v>537</v>
      </c>
      <c r="D1042">
        <v>20251231</v>
      </c>
      <c r="E1042">
        <v>4</v>
      </c>
      <c r="F1042" t="s">
        <v>538</v>
      </c>
      <c r="G1042" t="s">
        <v>539</v>
      </c>
      <c r="H1042" t="s">
        <v>539</v>
      </c>
      <c r="I1042">
        <v>75699000</v>
      </c>
    </row>
    <row r="1043" spans="1:9" x14ac:dyDescent="0.25">
      <c r="A1043" t="s">
        <v>468</v>
      </c>
      <c r="B1043" t="s">
        <v>536</v>
      </c>
      <c r="C1043" t="s">
        <v>537</v>
      </c>
      <c r="D1043">
        <v>20251231</v>
      </c>
      <c r="E1043">
        <v>0</v>
      </c>
      <c r="F1043" t="s">
        <v>538</v>
      </c>
      <c r="G1043" t="s">
        <v>539</v>
      </c>
      <c r="H1043" t="s">
        <v>539</v>
      </c>
      <c r="I1043">
        <v>13335830000</v>
      </c>
    </row>
    <row r="1044" spans="1:9" x14ac:dyDescent="0.25">
      <c r="A1044" t="s">
        <v>500</v>
      </c>
      <c r="B1044" t="s">
        <v>544</v>
      </c>
      <c r="C1044" t="s">
        <v>537</v>
      </c>
      <c r="D1044">
        <v>20251231</v>
      </c>
      <c r="E1044">
        <v>0</v>
      </c>
      <c r="F1044" t="s">
        <v>538</v>
      </c>
      <c r="G1044" t="s">
        <v>539</v>
      </c>
      <c r="H1044" t="s">
        <v>539</v>
      </c>
      <c r="I1044">
        <v>1246685000</v>
      </c>
    </row>
    <row r="1045" spans="1:9" x14ac:dyDescent="0.25">
      <c r="A1045" t="s">
        <v>208</v>
      </c>
      <c r="B1045" t="s">
        <v>540</v>
      </c>
      <c r="C1045" t="s">
        <v>537</v>
      </c>
      <c r="D1045">
        <v>20251231</v>
      </c>
      <c r="E1045">
        <v>0</v>
      </c>
      <c r="F1045" t="s">
        <v>538</v>
      </c>
      <c r="G1045" t="s">
        <v>539</v>
      </c>
      <c r="H1045" t="s">
        <v>539</v>
      </c>
      <c r="I1045">
        <v>22351475000</v>
      </c>
    </row>
    <row r="1046" spans="1:9" x14ac:dyDescent="0.25">
      <c r="A1046" t="s">
        <v>476</v>
      </c>
      <c r="B1046" t="s">
        <v>540</v>
      </c>
      <c r="C1046" t="s">
        <v>537</v>
      </c>
      <c r="D1046">
        <v>20251231</v>
      </c>
      <c r="E1046">
        <v>0</v>
      </c>
      <c r="F1046" t="s">
        <v>538</v>
      </c>
      <c r="G1046" t="s">
        <v>539</v>
      </c>
      <c r="H1046" t="s">
        <v>539</v>
      </c>
      <c r="I1046">
        <v>9352425000</v>
      </c>
    </row>
    <row r="1047" spans="1:9" x14ac:dyDescent="0.25">
      <c r="A1047" t="s">
        <v>206</v>
      </c>
      <c r="B1047" t="s">
        <v>540</v>
      </c>
      <c r="C1047" t="s">
        <v>537</v>
      </c>
      <c r="D1047">
        <v>20251231</v>
      </c>
      <c r="E1047">
        <v>0</v>
      </c>
      <c r="F1047" t="s">
        <v>538</v>
      </c>
      <c r="G1047" t="s">
        <v>539</v>
      </c>
      <c r="H1047" t="s">
        <v>539</v>
      </c>
      <c r="I1047">
        <v>3359859000</v>
      </c>
    </row>
    <row r="1048" spans="1:9" x14ac:dyDescent="0.25">
      <c r="A1048" t="s">
        <v>206</v>
      </c>
      <c r="B1048" t="s">
        <v>542</v>
      </c>
      <c r="C1048" t="s">
        <v>537</v>
      </c>
      <c r="D1048">
        <v>20251231</v>
      </c>
      <c r="E1048">
        <v>4</v>
      </c>
      <c r="F1048" t="s">
        <v>538</v>
      </c>
      <c r="G1048" t="s">
        <v>539</v>
      </c>
      <c r="H1048" t="s">
        <v>539</v>
      </c>
      <c r="I1048">
        <v>4.49</v>
      </c>
    </row>
    <row r="1049" spans="1:9" x14ac:dyDescent="0.25">
      <c r="A1049" t="s">
        <v>504</v>
      </c>
      <c r="B1049" t="s">
        <v>542</v>
      </c>
      <c r="C1049" t="s">
        <v>537</v>
      </c>
      <c r="D1049">
        <v>20251231</v>
      </c>
      <c r="E1049">
        <v>4</v>
      </c>
      <c r="F1049" t="s">
        <v>538</v>
      </c>
      <c r="G1049" t="s">
        <v>539</v>
      </c>
      <c r="H1049" t="s">
        <v>539</v>
      </c>
      <c r="I1049">
        <v>2.81</v>
      </c>
    </row>
    <row r="1050" spans="1:9" x14ac:dyDescent="0.25">
      <c r="A1050" t="s">
        <v>506</v>
      </c>
      <c r="B1050" t="s">
        <v>542</v>
      </c>
      <c r="C1050" t="s">
        <v>537</v>
      </c>
      <c r="D1050">
        <v>20251231</v>
      </c>
      <c r="E1050">
        <v>4</v>
      </c>
      <c r="F1050" t="s">
        <v>538</v>
      </c>
      <c r="G1050" t="s">
        <v>539</v>
      </c>
      <c r="H1050" t="s">
        <v>539</v>
      </c>
      <c r="I1050">
        <v>20.05</v>
      </c>
    </row>
    <row r="1051" spans="1:9" x14ac:dyDescent="0.25">
      <c r="A1051" t="s">
        <v>208</v>
      </c>
      <c r="B1051" t="s">
        <v>541</v>
      </c>
      <c r="C1051" t="s">
        <v>537</v>
      </c>
      <c r="D1051">
        <v>20251231</v>
      </c>
      <c r="E1051">
        <v>4</v>
      </c>
      <c r="F1051" t="s">
        <v>538</v>
      </c>
      <c r="G1051" t="s">
        <v>539</v>
      </c>
      <c r="H1051" t="s">
        <v>539</v>
      </c>
      <c r="I1051">
        <v>811764000</v>
      </c>
    </row>
    <row r="1052" spans="1:9" x14ac:dyDescent="0.25">
      <c r="A1052" t="s">
        <v>106</v>
      </c>
      <c r="B1052" t="s">
        <v>544</v>
      </c>
      <c r="C1052" t="s">
        <v>546</v>
      </c>
      <c r="D1052">
        <v>20251231</v>
      </c>
      <c r="E1052">
        <v>0</v>
      </c>
      <c r="F1052" t="s">
        <v>538</v>
      </c>
      <c r="G1052" t="s">
        <v>539</v>
      </c>
      <c r="H1052" t="s">
        <v>539</v>
      </c>
      <c r="I1052">
        <v>6249079000</v>
      </c>
    </row>
    <row r="1053" spans="1:9" x14ac:dyDescent="0.25">
      <c r="A1053" t="s">
        <v>478</v>
      </c>
      <c r="B1053" t="s">
        <v>540</v>
      </c>
      <c r="C1053" t="s">
        <v>537</v>
      </c>
      <c r="D1053">
        <v>20251231</v>
      </c>
      <c r="E1053">
        <v>0</v>
      </c>
      <c r="F1053" t="s">
        <v>538</v>
      </c>
      <c r="G1053" t="s">
        <v>539</v>
      </c>
      <c r="H1053" t="s">
        <v>539</v>
      </c>
      <c r="I1053">
        <v>22881879000</v>
      </c>
    </row>
    <row r="1054" spans="1:9" x14ac:dyDescent="0.25">
      <c r="A1054" t="s">
        <v>478</v>
      </c>
      <c r="B1054" t="s">
        <v>544</v>
      </c>
      <c r="C1054" t="s">
        <v>537</v>
      </c>
      <c r="D1054">
        <v>20251231</v>
      </c>
      <c r="E1054">
        <v>0</v>
      </c>
      <c r="F1054" t="s">
        <v>538</v>
      </c>
      <c r="G1054" t="s">
        <v>539</v>
      </c>
      <c r="H1054" t="s">
        <v>539</v>
      </c>
      <c r="I1054">
        <v>4296871000</v>
      </c>
    </row>
    <row r="1055" spans="1:9" x14ac:dyDescent="0.25">
      <c r="A1055" t="s">
        <v>156</v>
      </c>
      <c r="B1055" t="s">
        <v>542</v>
      </c>
      <c r="C1055" t="s">
        <v>537</v>
      </c>
      <c r="D1055">
        <v>20251231</v>
      </c>
      <c r="E1055">
        <v>4</v>
      </c>
      <c r="F1055" t="s">
        <v>538</v>
      </c>
      <c r="G1055" t="s">
        <v>539</v>
      </c>
      <c r="H1055" t="s">
        <v>539</v>
      </c>
      <c r="I1055">
        <v>2.14</v>
      </c>
    </row>
    <row r="1056" spans="1:9" x14ac:dyDescent="0.25">
      <c r="A1056" t="s">
        <v>502</v>
      </c>
      <c r="B1056" t="s">
        <v>540</v>
      </c>
      <c r="C1056" t="s">
        <v>537</v>
      </c>
      <c r="D1056">
        <v>20251231</v>
      </c>
      <c r="E1056">
        <v>0</v>
      </c>
      <c r="F1056" t="s">
        <v>538</v>
      </c>
      <c r="G1056" t="s">
        <v>539</v>
      </c>
      <c r="H1056" t="s">
        <v>539</v>
      </c>
      <c r="I1056">
        <v>6380588000</v>
      </c>
    </row>
    <row r="1057" spans="1:9" x14ac:dyDescent="0.25">
      <c r="A1057" t="s">
        <v>510</v>
      </c>
      <c r="B1057" t="s">
        <v>544</v>
      </c>
      <c r="C1057" t="s">
        <v>537</v>
      </c>
      <c r="D1057">
        <v>20251231</v>
      </c>
      <c r="E1057">
        <v>0</v>
      </c>
      <c r="F1057" t="s">
        <v>538</v>
      </c>
      <c r="G1057" t="s">
        <v>539</v>
      </c>
      <c r="H1057" t="s">
        <v>539</v>
      </c>
      <c r="I1057">
        <v>20381000000</v>
      </c>
    </row>
    <row r="1058" spans="1:9" x14ac:dyDescent="0.25">
      <c r="A1058" t="s">
        <v>214</v>
      </c>
      <c r="B1058" t="s">
        <v>541</v>
      </c>
      <c r="C1058" t="s">
        <v>537</v>
      </c>
      <c r="D1058">
        <v>20251231</v>
      </c>
      <c r="E1058">
        <v>4</v>
      </c>
      <c r="F1058" t="s">
        <v>538</v>
      </c>
      <c r="G1058" t="s">
        <v>539</v>
      </c>
      <c r="H1058" t="s">
        <v>539</v>
      </c>
      <c r="I1058">
        <v>145487000</v>
      </c>
    </row>
    <row r="1059" spans="1:9" x14ac:dyDescent="0.25">
      <c r="A1059" t="s">
        <v>214</v>
      </c>
      <c r="B1059" t="s">
        <v>543</v>
      </c>
      <c r="C1059" t="s">
        <v>537</v>
      </c>
      <c r="D1059">
        <v>20251231</v>
      </c>
      <c r="E1059">
        <v>4</v>
      </c>
      <c r="F1059" t="s">
        <v>538</v>
      </c>
      <c r="G1059" t="s">
        <v>539</v>
      </c>
      <c r="H1059" t="s">
        <v>539</v>
      </c>
      <c r="I1059">
        <v>26100000</v>
      </c>
    </row>
    <row r="1060" spans="1:9" x14ac:dyDescent="0.25">
      <c r="A1060" t="s">
        <v>158</v>
      </c>
      <c r="B1060" t="s">
        <v>543</v>
      </c>
      <c r="C1060" t="s">
        <v>537</v>
      </c>
      <c r="D1060">
        <v>20251231</v>
      </c>
      <c r="E1060">
        <v>4</v>
      </c>
      <c r="F1060" t="s">
        <v>538</v>
      </c>
      <c r="G1060" t="s">
        <v>539</v>
      </c>
      <c r="H1060" t="s">
        <v>539</v>
      </c>
      <c r="I1060">
        <v>-35675000</v>
      </c>
    </row>
    <row r="1061" spans="1:9" x14ac:dyDescent="0.25">
      <c r="A1061" t="s">
        <v>508</v>
      </c>
      <c r="B1061" t="s">
        <v>541</v>
      </c>
      <c r="C1061" t="s">
        <v>537</v>
      </c>
      <c r="D1061">
        <v>20251231</v>
      </c>
      <c r="E1061">
        <v>4</v>
      </c>
      <c r="F1061" t="s">
        <v>538</v>
      </c>
      <c r="G1061" t="s">
        <v>539</v>
      </c>
      <c r="H1061" t="s">
        <v>539</v>
      </c>
      <c r="I1061">
        <v>4692900000</v>
      </c>
    </row>
    <row r="1062" spans="1:9" x14ac:dyDescent="0.25">
      <c r="A1062" t="s">
        <v>108</v>
      </c>
      <c r="B1062" t="s">
        <v>540</v>
      </c>
      <c r="C1062" t="s">
        <v>537</v>
      </c>
      <c r="D1062">
        <v>20251231</v>
      </c>
      <c r="E1062">
        <v>0</v>
      </c>
      <c r="F1062" t="s">
        <v>538</v>
      </c>
      <c r="G1062" t="s">
        <v>539</v>
      </c>
      <c r="H1062" t="s">
        <v>539</v>
      </c>
      <c r="I1062">
        <v>1196345000</v>
      </c>
    </row>
    <row r="1063" spans="1:9" x14ac:dyDescent="0.25">
      <c r="A1063" t="s">
        <v>510</v>
      </c>
      <c r="B1063" t="s">
        <v>545</v>
      </c>
      <c r="C1063" t="s">
        <v>537</v>
      </c>
      <c r="D1063">
        <v>20251231</v>
      </c>
      <c r="E1063">
        <v>4</v>
      </c>
      <c r="F1063" t="s">
        <v>538</v>
      </c>
      <c r="G1063" t="s">
        <v>539</v>
      </c>
      <c r="H1063" t="s">
        <v>539</v>
      </c>
      <c r="I1063">
        <v>624000000</v>
      </c>
    </row>
    <row r="1064" spans="1:9" x14ac:dyDescent="0.25">
      <c r="A1064" t="s">
        <v>510</v>
      </c>
      <c r="B1064" t="s">
        <v>536</v>
      </c>
      <c r="C1064" t="s">
        <v>537</v>
      </c>
      <c r="D1064">
        <v>20251231</v>
      </c>
      <c r="E1064">
        <v>0</v>
      </c>
      <c r="F1064" t="s">
        <v>538</v>
      </c>
      <c r="G1064" t="s">
        <v>539</v>
      </c>
      <c r="H1064" t="s">
        <v>539</v>
      </c>
      <c r="I1064">
        <v>164000000000</v>
      </c>
    </row>
    <row r="1065" spans="1:9" x14ac:dyDescent="0.25">
      <c r="A1065" t="s">
        <v>206</v>
      </c>
      <c r="B1065" t="s">
        <v>536</v>
      </c>
      <c r="C1065" t="s">
        <v>537</v>
      </c>
      <c r="D1065">
        <v>20251231</v>
      </c>
      <c r="E1065">
        <v>0</v>
      </c>
      <c r="F1065" t="s">
        <v>538</v>
      </c>
      <c r="G1065" t="s">
        <v>539</v>
      </c>
      <c r="H1065" t="s">
        <v>539</v>
      </c>
      <c r="I1065">
        <v>3058370000</v>
      </c>
    </row>
    <row r="1066" spans="1:9" x14ac:dyDescent="0.25">
      <c r="A1066" t="s">
        <v>160</v>
      </c>
      <c r="B1066" t="s">
        <v>544</v>
      </c>
      <c r="C1066" t="s">
        <v>537</v>
      </c>
      <c r="D1066">
        <v>20251231</v>
      </c>
      <c r="E1066">
        <v>0</v>
      </c>
      <c r="F1066" t="s">
        <v>538</v>
      </c>
      <c r="G1066" t="s">
        <v>539</v>
      </c>
      <c r="H1066" t="s">
        <v>539</v>
      </c>
      <c r="I1066">
        <v>401757000</v>
      </c>
    </row>
    <row r="1067" spans="1:9" x14ac:dyDescent="0.25">
      <c r="A1067" t="s">
        <v>500</v>
      </c>
      <c r="B1067" t="s">
        <v>540</v>
      </c>
      <c r="C1067" t="s">
        <v>537</v>
      </c>
      <c r="D1067">
        <v>20251231</v>
      </c>
      <c r="E1067">
        <v>0</v>
      </c>
      <c r="F1067" t="s">
        <v>538</v>
      </c>
      <c r="G1067" t="s">
        <v>539</v>
      </c>
      <c r="H1067" t="s">
        <v>539</v>
      </c>
      <c r="I1067">
        <v>9724722000</v>
      </c>
    </row>
    <row r="1068" spans="1:9" x14ac:dyDescent="0.25">
      <c r="A1068" t="s">
        <v>500</v>
      </c>
      <c r="B1068" t="s">
        <v>541</v>
      </c>
      <c r="C1068" t="s">
        <v>537</v>
      </c>
      <c r="D1068">
        <v>20251231</v>
      </c>
      <c r="E1068">
        <v>4</v>
      </c>
      <c r="F1068" t="s">
        <v>538</v>
      </c>
      <c r="G1068" t="s">
        <v>539</v>
      </c>
      <c r="H1068" t="s">
        <v>539</v>
      </c>
      <c r="I1068">
        <v>537963000</v>
      </c>
    </row>
    <row r="1069" spans="1:9" x14ac:dyDescent="0.25">
      <c r="A1069" t="s">
        <v>208</v>
      </c>
      <c r="B1069" t="s">
        <v>542</v>
      </c>
      <c r="C1069" t="s">
        <v>537</v>
      </c>
      <c r="D1069">
        <v>20251231</v>
      </c>
      <c r="E1069">
        <v>4</v>
      </c>
      <c r="F1069" t="s">
        <v>538</v>
      </c>
      <c r="G1069" t="s">
        <v>539</v>
      </c>
      <c r="H1069" t="s">
        <v>539</v>
      </c>
      <c r="I1069">
        <v>1.27</v>
      </c>
    </row>
    <row r="1070" spans="1:9" x14ac:dyDescent="0.25">
      <c r="A1070" t="s">
        <v>516</v>
      </c>
      <c r="B1070" t="s">
        <v>542</v>
      </c>
      <c r="C1070" t="s">
        <v>537</v>
      </c>
      <c r="D1070">
        <v>20251231</v>
      </c>
      <c r="E1070">
        <v>4</v>
      </c>
      <c r="F1070" t="s">
        <v>538</v>
      </c>
      <c r="G1070" t="s">
        <v>539</v>
      </c>
      <c r="H1070" t="s">
        <v>539</v>
      </c>
      <c r="I1070">
        <v>1.59</v>
      </c>
    </row>
    <row r="1071" spans="1:9" x14ac:dyDescent="0.25">
      <c r="A1071" t="s">
        <v>518</v>
      </c>
      <c r="B1071" t="s">
        <v>540</v>
      </c>
      <c r="C1071" t="s">
        <v>537</v>
      </c>
      <c r="D1071">
        <v>20251231</v>
      </c>
      <c r="E1071">
        <v>0</v>
      </c>
      <c r="F1071" t="s">
        <v>538</v>
      </c>
      <c r="G1071" t="s">
        <v>539</v>
      </c>
      <c r="H1071" t="s">
        <v>539</v>
      </c>
      <c r="I1071">
        <v>3154981000</v>
      </c>
    </row>
    <row r="1072" spans="1:9" x14ac:dyDescent="0.25">
      <c r="A1072" t="s">
        <v>518</v>
      </c>
      <c r="B1072" t="s">
        <v>536</v>
      </c>
      <c r="C1072" t="s">
        <v>537</v>
      </c>
      <c r="D1072">
        <v>20251231</v>
      </c>
      <c r="E1072">
        <v>0</v>
      </c>
      <c r="F1072" t="s">
        <v>538</v>
      </c>
      <c r="G1072" t="s">
        <v>539</v>
      </c>
      <c r="H1072" t="s">
        <v>539</v>
      </c>
      <c r="I1072">
        <v>2889421000</v>
      </c>
    </row>
    <row r="1073" spans="1:9" x14ac:dyDescent="0.25">
      <c r="A1073" t="s">
        <v>512</v>
      </c>
      <c r="B1073" t="s">
        <v>540</v>
      </c>
      <c r="C1073" t="s">
        <v>537</v>
      </c>
      <c r="D1073">
        <v>20251231</v>
      </c>
      <c r="E1073">
        <v>0</v>
      </c>
      <c r="F1073" t="s">
        <v>538</v>
      </c>
      <c r="G1073" t="s">
        <v>539</v>
      </c>
      <c r="H1073" t="s">
        <v>539</v>
      </c>
      <c r="I1073">
        <v>24540877000</v>
      </c>
    </row>
    <row r="1074" spans="1:9" x14ac:dyDescent="0.25">
      <c r="A1074" t="s">
        <v>512</v>
      </c>
      <c r="B1074" t="s">
        <v>544</v>
      </c>
      <c r="C1074" t="s">
        <v>537</v>
      </c>
      <c r="D1074">
        <v>20251231</v>
      </c>
      <c r="E1074">
        <v>0</v>
      </c>
      <c r="F1074" t="s">
        <v>538</v>
      </c>
      <c r="G1074" t="s">
        <v>539</v>
      </c>
      <c r="H1074" t="s">
        <v>539</v>
      </c>
      <c r="I1074">
        <v>3419240000</v>
      </c>
    </row>
    <row r="1075" spans="1:9" x14ac:dyDescent="0.25">
      <c r="A1075" t="s">
        <v>520</v>
      </c>
      <c r="B1075" t="s">
        <v>544</v>
      </c>
      <c r="C1075" t="s">
        <v>537</v>
      </c>
      <c r="D1075">
        <v>20251231</v>
      </c>
      <c r="E1075">
        <v>0</v>
      </c>
      <c r="F1075" t="s">
        <v>538</v>
      </c>
      <c r="G1075" t="s">
        <v>539</v>
      </c>
      <c r="H1075" t="s">
        <v>539</v>
      </c>
      <c r="I1075">
        <v>3541277000</v>
      </c>
    </row>
    <row r="1076" spans="1:9" x14ac:dyDescent="0.25">
      <c r="A1076" t="s">
        <v>216</v>
      </c>
      <c r="B1076" t="s">
        <v>540</v>
      </c>
      <c r="C1076" t="s">
        <v>537</v>
      </c>
      <c r="D1076">
        <v>20251231</v>
      </c>
      <c r="E1076">
        <v>0</v>
      </c>
      <c r="F1076" t="s">
        <v>538</v>
      </c>
      <c r="G1076" t="s">
        <v>539</v>
      </c>
      <c r="H1076" t="s">
        <v>539</v>
      </c>
      <c r="I1076">
        <v>1547693000</v>
      </c>
    </row>
    <row r="1077" spans="1:9" x14ac:dyDescent="0.25">
      <c r="A1077" t="s">
        <v>502</v>
      </c>
      <c r="B1077" t="s">
        <v>542</v>
      </c>
      <c r="C1077" t="s">
        <v>537</v>
      </c>
      <c r="D1077">
        <v>20251231</v>
      </c>
      <c r="E1077">
        <v>4</v>
      </c>
      <c r="F1077" t="s">
        <v>538</v>
      </c>
      <c r="G1077" t="s">
        <v>539</v>
      </c>
      <c r="H1077" t="s">
        <v>539</v>
      </c>
      <c r="I1077">
        <v>0.94</v>
      </c>
    </row>
    <row r="1078" spans="1:9" x14ac:dyDescent="0.25">
      <c r="A1078" t="s">
        <v>502</v>
      </c>
      <c r="B1078" t="s">
        <v>543</v>
      </c>
      <c r="C1078" t="s">
        <v>537</v>
      </c>
      <c r="D1078">
        <v>20251231</v>
      </c>
      <c r="E1078">
        <v>4</v>
      </c>
      <c r="F1078" t="s">
        <v>538</v>
      </c>
      <c r="G1078" t="s">
        <v>539</v>
      </c>
      <c r="H1078" t="s">
        <v>539</v>
      </c>
      <c r="I1078">
        <v>25359000</v>
      </c>
    </row>
    <row r="1079" spans="1:9" x14ac:dyDescent="0.25">
      <c r="A1079" t="s">
        <v>110</v>
      </c>
      <c r="B1079" t="s">
        <v>536</v>
      </c>
      <c r="C1079" t="s">
        <v>537</v>
      </c>
      <c r="D1079">
        <v>20251231</v>
      </c>
      <c r="E1079">
        <v>0</v>
      </c>
      <c r="F1079" t="s">
        <v>538</v>
      </c>
      <c r="G1079" t="s">
        <v>539</v>
      </c>
      <c r="H1079" t="s">
        <v>539</v>
      </c>
      <c r="I1079">
        <v>5641118000</v>
      </c>
    </row>
    <row r="1080" spans="1:9" x14ac:dyDescent="0.25">
      <c r="A1080" t="s">
        <v>482</v>
      </c>
      <c r="B1080" t="s">
        <v>541</v>
      </c>
      <c r="C1080" t="s">
        <v>537</v>
      </c>
      <c r="D1080">
        <v>20251231</v>
      </c>
      <c r="E1080">
        <v>4</v>
      </c>
      <c r="F1080" t="s">
        <v>538</v>
      </c>
      <c r="G1080" t="s">
        <v>539</v>
      </c>
      <c r="H1080" t="s">
        <v>539</v>
      </c>
      <c r="I1080">
        <v>644868000</v>
      </c>
    </row>
    <row r="1081" spans="1:9" x14ac:dyDescent="0.25">
      <c r="A1081" t="s">
        <v>504</v>
      </c>
      <c r="B1081" t="s">
        <v>536</v>
      </c>
      <c r="C1081" t="s">
        <v>537</v>
      </c>
      <c r="D1081">
        <v>20251231</v>
      </c>
      <c r="E1081">
        <v>0</v>
      </c>
      <c r="F1081" t="s">
        <v>538</v>
      </c>
      <c r="G1081" t="s">
        <v>539</v>
      </c>
      <c r="H1081" t="s">
        <v>539</v>
      </c>
      <c r="I1081">
        <v>7317857000</v>
      </c>
    </row>
    <row r="1082" spans="1:9" x14ac:dyDescent="0.25">
      <c r="A1082" t="s">
        <v>504</v>
      </c>
      <c r="B1082" t="s">
        <v>543</v>
      </c>
      <c r="C1082" t="s">
        <v>537</v>
      </c>
      <c r="D1082">
        <v>20251231</v>
      </c>
      <c r="E1082">
        <v>4</v>
      </c>
      <c r="F1082" t="s">
        <v>538</v>
      </c>
      <c r="G1082" t="s">
        <v>539</v>
      </c>
      <c r="H1082" t="s">
        <v>539</v>
      </c>
      <c r="I1082">
        <v>87861000</v>
      </c>
    </row>
    <row r="1083" spans="1:9" x14ac:dyDescent="0.25">
      <c r="A1083" t="s">
        <v>484</v>
      </c>
      <c r="B1083" t="s">
        <v>536</v>
      </c>
      <c r="C1083" t="s">
        <v>537</v>
      </c>
      <c r="D1083">
        <v>20251231</v>
      </c>
      <c r="E1083">
        <v>0</v>
      </c>
      <c r="F1083" t="s">
        <v>538</v>
      </c>
      <c r="G1083" t="s">
        <v>539</v>
      </c>
      <c r="H1083" t="s">
        <v>539</v>
      </c>
      <c r="I1083">
        <v>8460427000</v>
      </c>
    </row>
    <row r="1084" spans="1:9" x14ac:dyDescent="0.25">
      <c r="A1084" t="s">
        <v>114</v>
      </c>
      <c r="B1084" t="s">
        <v>545</v>
      </c>
      <c r="C1084" t="s">
        <v>537</v>
      </c>
      <c r="D1084">
        <v>20251231</v>
      </c>
      <c r="E1084">
        <v>4</v>
      </c>
      <c r="F1084" t="s">
        <v>538</v>
      </c>
      <c r="G1084" t="s">
        <v>539</v>
      </c>
      <c r="H1084" t="s">
        <v>539</v>
      </c>
      <c r="I1084">
        <v>432617000</v>
      </c>
    </row>
    <row r="1085" spans="1:9" x14ac:dyDescent="0.25">
      <c r="A1085" t="s">
        <v>114</v>
      </c>
      <c r="B1085" t="s">
        <v>536</v>
      </c>
      <c r="C1085" t="s">
        <v>537</v>
      </c>
      <c r="D1085">
        <v>20251231</v>
      </c>
      <c r="E1085">
        <v>0</v>
      </c>
      <c r="F1085" t="s">
        <v>538</v>
      </c>
      <c r="G1085" t="s">
        <v>539</v>
      </c>
      <c r="H1085" t="s">
        <v>539</v>
      </c>
      <c r="I1085">
        <v>7226430000</v>
      </c>
    </row>
    <row r="1086" spans="1:9" x14ac:dyDescent="0.25">
      <c r="A1086" t="s">
        <v>514</v>
      </c>
      <c r="B1086" t="s">
        <v>540</v>
      </c>
      <c r="C1086" t="s">
        <v>537</v>
      </c>
      <c r="D1086">
        <v>20251231</v>
      </c>
      <c r="E1086">
        <v>0</v>
      </c>
      <c r="F1086" t="s">
        <v>538</v>
      </c>
      <c r="G1086" t="s">
        <v>539</v>
      </c>
      <c r="H1086" t="s">
        <v>539</v>
      </c>
      <c r="I1086">
        <v>4754861000</v>
      </c>
    </row>
    <row r="1087" spans="1:9" x14ac:dyDescent="0.25">
      <c r="A1087" t="s">
        <v>514</v>
      </c>
      <c r="B1087" t="s">
        <v>544</v>
      </c>
      <c r="C1087" t="s">
        <v>537</v>
      </c>
      <c r="D1087">
        <v>20251231</v>
      </c>
      <c r="E1087">
        <v>0</v>
      </c>
      <c r="F1087" t="s">
        <v>538</v>
      </c>
      <c r="G1087" t="s">
        <v>539</v>
      </c>
      <c r="H1087" t="s">
        <v>539</v>
      </c>
      <c r="I1087">
        <v>445832000</v>
      </c>
    </row>
    <row r="1088" spans="1:9" x14ac:dyDescent="0.25">
      <c r="A1088" t="s">
        <v>210</v>
      </c>
      <c r="B1088" t="s">
        <v>542</v>
      </c>
      <c r="C1088" t="s">
        <v>537</v>
      </c>
      <c r="D1088">
        <v>20251231</v>
      </c>
      <c r="E1088">
        <v>4</v>
      </c>
      <c r="F1088" t="s">
        <v>538</v>
      </c>
      <c r="G1088" t="s">
        <v>539</v>
      </c>
      <c r="H1088" t="s">
        <v>539</v>
      </c>
      <c r="I1088">
        <v>2.5099999999999998</v>
      </c>
    </row>
    <row r="1089" spans="1:9" x14ac:dyDescent="0.25">
      <c r="A1089" t="s">
        <v>210</v>
      </c>
      <c r="B1089" t="s">
        <v>541</v>
      </c>
      <c r="C1089" t="s">
        <v>537</v>
      </c>
      <c r="D1089">
        <v>20251231</v>
      </c>
      <c r="E1089">
        <v>4</v>
      </c>
      <c r="F1089" t="s">
        <v>538</v>
      </c>
      <c r="G1089" t="s">
        <v>539</v>
      </c>
      <c r="H1089" t="s">
        <v>539</v>
      </c>
      <c r="I1089">
        <v>97054000</v>
      </c>
    </row>
    <row r="1090" spans="1:9" x14ac:dyDescent="0.25">
      <c r="A1090" t="s">
        <v>118</v>
      </c>
      <c r="B1090" t="s">
        <v>541</v>
      </c>
      <c r="C1090" t="s">
        <v>537</v>
      </c>
      <c r="D1090">
        <v>20251231</v>
      </c>
      <c r="E1090">
        <v>4</v>
      </c>
      <c r="F1090" t="s">
        <v>538</v>
      </c>
      <c r="G1090" t="s">
        <v>539</v>
      </c>
      <c r="H1090" t="s">
        <v>539</v>
      </c>
      <c r="I1090">
        <v>197611000</v>
      </c>
    </row>
    <row r="1091" spans="1:9" x14ac:dyDescent="0.25">
      <c r="A1091" t="s">
        <v>166</v>
      </c>
      <c r="B1091" t="s">
        <v>536</v>
      </c>
      <c r="C1091" t="s">
        <v>537</v>
      </c>
      <c r="D1091">
        <v>20251231</v>
      </c>
      <c r="E1091">
        <v>0</v>
      </c>
      <c r="F1091" t="s">
        <v>538</v>
      </c>
      <c r="G1091" t="s">
        <v>539</v>
      </c>
      <c r="H1091" t="s">
        <v>539</v>
      </c>
      <c r="I1091">
        <v>4665150000</v>
      </c>
    </row>
    <row r="1092" spans="1:9" x14ac:dyDescent="0.25">
      <c r="A1092" t="s">
        <v>168</v>
      </c>
      <c r="B1092" t="s">
        <v>542</v>
      </c>
      <c r="C1092" t="s">
        <v>537</v>
      </c>
      <c r="D1092">
        <v>20251231</v>
      </c>
      <c r="E1092">
        <v>4</v>
      </c>
      <c r="F1092" t="s">
        <v>538</v>
      </c>
      <c r="G1092" t="s">
        <v>539</v>
      </c>
      <c r="H1092" t="s">
        <v>539</v>
      </c>
      <c r="I1092">
        <v>1.46</v>
      </c>
    </row>
    <row r="1093" spans="1:9" x14ac:dyDescent="0.25">
      <c r="A1093" t="s">
        <v>168</v>
      </c>
      <c r="B1093" t="s">
        <v>536</v>
      </c>
      <c r="C1093" t="s">
        <v>537</v>
      </c>
      <c r="D1093">
        <v>20251231</v>
      </c>
      <c r="E1093">
        <v>0</v>
      </c>
      <c r="F1093" t="s">
        <v>538</v>
      </c>
      <c r="G1093" t="s">
        <v>539</v>
      </c>
      <c r="H1093" t="s">
        <v>539</v>
      </c>
      <c r="I1093">
        <v>4760145000</v>
      </c>
    </row>
    <row r="1094" spans="1:9" x14ac:dyDescent="0.25">
      <c r="A1094" t="s">
        <v>218</v>
      </c>
      <c r="B1094" t="s">
        <v>541</v>
      </c>
      <c r="C1094" t="s">
        <v>537</v>
      </c>
      <c r="D1094">
        <v>20251231</v>
      </c>
      <c r="E1094">
        <v>4</v>
      </c>
      <c r="F1094" t="s">
        <v>538</v>
      </c>
      <c r="G1094" t="s">
        <v>539</v>
      </c>
      <c r="H1094" t="s">
        <v>539</v>
      </c>
      <c r="I1094">
        <v>256999000</v>
      </c>
    </row>
    <row r="1095" spans="1:9" x14ac:dyDescent="0.25">
      <c r="A1095" t="s">
        <v>170</v>
      </c>
      <c r="B1095" t="s">
        <v>540</v>
      </c>
      <c r="C1095" t="s">
        <v>537</v>
      </c>
      <c r="D1095">
        <v>20251231</v>
      </c>
      <c r="E1095">
        <v>0</v>
      </c>
      <c r="F1095" t="s">
        <v>538</v>
      </c>
      <c r="G1095" t="s">
        <v>539</v>
      </c>
      <c r="H1095" t="s">
        <v>539</v>
      </c>
      <c r="I1095">
        <v>3259643000</v>
      </c>
    </row>
    <row r="1096" spans="1:9" x14ac:dyDescent="0.25">
      <c r="A1096" t="s">
        <v>170</v>
      </c>
      <c r="B1096" t="s">
        <v>542</v>
      </c>
      <c r="C1096" t="s">
        <v>537</v>
      </c>
      <c r="D1096">
        <v>20251231</v>
      </c>
      <c r="E1096">
        <v>4</v>
      </c>
      <c r="F1096" t="s">
        <v>538</v>
      </c>
      <c r="G1096" t="s">
        <v>539</v>
      </c>
      <c r="H1096" t="s">
        <v>539</v>
      </c>
      <c r="I1096">
        <v>2.66</v>
      </c>
    </row>
    <row r="1097" spans="1:9" x14ac:dyDescent="0.25">
      <c r="A1097" t="s">
        <v>172</v>
      </c>
      <c r="B1097" t="s">
        <v>542</v>
      </c>
      <c r="C1097" t="s">
        <v>537</v>
      </c>
      <c r="D1097">
        <v>20251231</v>
      </c>
      <c r="E1097">
        <v>4</v>
      </c>
      <c r="F1097" t="s">
        <v>538</v>
      </c>
      <c r="G1097" t="s">
        <v>539</v>
      </c>
      <c r="H1097" t="s">
        <v>539</v>
      </c>
      <c r="I1097">
        <v>1.9</v>
      </c>
    </row>
    <row r="1098" spans="1:9" x14ac:dyDescent="0.25">
      <c r="A1098" t="s">
        <v>176</v>
      </c>
      <c r="B1098" t="s">
        <v>540</v>
      </c>
      <c r="C1098" t="s">
        <v>537</v>
      </c>
      <c r="D1098">
        <v>20251231</v>
      </c>
      <c r="E1098">
        <v>0</v>
      </c>
      <c r="F1098" t="s">
        <v>538</v>
      </c>
      <c r="G1098" t="s">
        <v>539</v>
      </c>
      <c r="H1098" t="s">
        <v>539</v>
      </c>
      <c r="I1098">
        <v>2249436000</v>
      </c>
    </row>
    <row r="1099" spans="1:9" x14ac:dyDescent="0.25">
      <c r="A1099" t="s">
        <v>224</v>
      </c>
      <c r="B1099" t="s">
        <v>544</v>
      </c>
      <c r="C1099" t="s">
        <v>537</v>
      </c>
      <c r="D1099">
        <v>20251231</v>
      </c>
      <c r="E1099">
        <v>0</v>
      </c>
      <c r="F1099" t="s">
        <v>538</v>
      </c>
      <c r="G1099" t="s">
        <v>539</v>
      </c>
      <c r="H1099" t="s">
        <v>539</v>
      </c>
      <c r="I1099">
        <v>419974000</v>
      </c>
    </row>
    <row r="1100" spans="1:9" x14ac:dyDescent="0.25">
      <c r="A1100" t="s">
        <v>182</v>
      </c>
      <c r="B1100" t="s">
        <v>536</v>
      </c>
      <c r="C1100" t="s">
        <v>537</v>
      </c>
      <c r="D1100">
        <v>20251231</v>
      </c>
      <c r="E1100">
        <v>0</v>
      </c>
      <c r="F1100" t="s">
        <v>538</v>
      </c>
      <c r="G1100" t="s">
        <v>539</v>
      </c>
      <c r="H1100" t="s">
        <v>539</v>
      </c>
      <c r="I1100">
        <v>1994078000</v>
      </c>
    </row>
    <row r="1101" spans="1:9" x14ac:dyDescent="0.25">
      <c r="A1101" t="s">
        <v>184</v>
      </c>
      <c r="B1101" t="s">
        <v>544</v>
      </c>
      <c r="C1101" t="s">
        <v>537</v>
      </c>
      <c r="D1101">
        <v>20251231</v>
      </c>
      <c r="E1101">
        <v>0</v>
      </c>
      <c r="F1101" t="s">
        <v>538</v>
      </c>
      <c r="G1101" t="s">
        <v>539</v>
      </c>
      <c r="H1101" t="s">
        <v>539</v>
      </c>
      <c r="I1101">
        <v>238860000</v>
      </c>
    </row>
    <row r="1102" spans="1:9" x14ac:dyDescent="0.25">
      <c r="A1102" t="s">
        <v>186</v>
      </c>
      <c r="B1102" t="s">
        <v>541</v>
      </c>
      <c r="C1102" t="s">
        <v>537</v>
      </c>
      <c r="D1102">
        <v>20251231</v>
      </c>
      <c r="E1102">
        <v>4</v>
      </c>
      <c r="F1102" t="s">
        <v>538</v>
      </c>
      <c r="G1102" t="s">
        <v>539</v>
      </c>
      <c r="H1102" t="s">
        <v>539</v>
      </c>
      <c r="I1102">
        <v>144016000</v>
      </c>
    </row>
    <row r="1103" spans="1:9" x14ac:dyDescent="0.25">
      <c r="A1103" t="s">
        <v>506</v>
      </c>
      <c r="B1103" t="s">
        <v>544</v>
      </c>
      <c r="C1103" t="s">
        <v>537</v>
      </c>
      <c r="D1103">
        <v>20251231</v>
      </c>
      <c r="E1103">
        <v>0</v>
      </c>
      <c r="F1103" t="s">
        <v>538</v>
      </c>
      <c r="G1103" t="s">
        <v>539</v>
      </c>
      <c r="H1103" t="s">
        <v>539</v>
      </c>
      <c r="I1103">
        <v>362438000000</v>
      </c>
    </row>
    <row r="1104" spans="1:9" x14ac:dyDescent="0.25">
      <c r="A1104" t="s">
        <v>218</v>
      </c>
      <c r="B1104" t="s">
        <v>536</v>
      </c>
      <c r="C1104" t="s">
        <v>537</v>
      </c>
      <c r="D1104">
        <v>20251231</v>
      </c>
      <c r="E1104">
        <v>0</v>
      </c>
      <c r="F1104" t="s">
        <v>538</v>
      </c>
      <c r="G1104" t="s">
        <v>539</v>
      </c>
      <c r="H1104" t="s">
        <v>539</v>
      </c>
      <c r="I1104">
        <v>5056131000</v>
      </c>
    </row>
    <row r="1105" spans="1:9" x14ac:dyDescent="0.25">
      <c r="A1105" t="s">
        <v>228</v>
      </c>
      <c r="B1105" t="s">
        <v>541</v>
      </c>
      <c r="C1105" t="s">
        <v>537</v>
      </c>
      <c r="D1105">
        <v>20251231</v>
      </c>
      <c r="E1105">
        <v>4</v>
      </c>
      <c r="F1105" t="s">
        <v>538</v>
      </c>
      <c r="G1105" t="s">
        <v>539</v>
      </c>
      <c r="H1105" t="s">
        <v>539</v>
      </c>
      <c r="I1105">
        <v>132835000</v>
      </c>
    </row>
    <row r="1106" spans="1:9" x14ac:dyDescent="0.25">
      <c r="A1106" t="s">
        <v>190</v>
      </c>
      <c r="B1106" t="s">
        <v>540</v>
      </c>
      <c r="C1106" t="s">
        <v>537</v>
      </c>
      <c r="D1106">
        <v>20251231</v>
      </c>
      <c r="E1106">
        <v>0</v>
      </c>
      <c r="F1106" t="s">
        <v>538</v>
      </c>
      <c r="G1106" t="s">
        <v>539</v>
      </c>
      <c r="H1106" t="s">
        <v>539</v>
      </c>
      <c r="I1106">
        <v>1293303000</v>
      </c>
    </row>
    <row r="1107" spans="1:9" x14ac:dyDescent="0.25">
      <c r="A1107" t="s">
        <v>190</v>
      </c>
      <c r="B1107" t="s">
        <v>541</v>
      </c>
      <c r="C1107" t="s">
        <v>537</v>
      </c>
      <c r="D1107">
        <v>20251231</v>
      </c>
      <c r="E1107">
        <v>4</v>
      </c>
      <c r="F1107" t="s">
        <v>538</v>
      </c>
      <c r="G1107" t="s">
        <v>539</v>
      </c>
      <c r="H1107" t="s">
        <v>539</v>
      </c>
      <c r="I1107">
        <v>65749000</v>
      </c>
    </row>
    <row r="1108" spans="1:9" x14ac:dyDescent="0.25">
      <c r="A1108" t="s">
        <v>192</v>
      </c>
      <c r="B1108" t="s">
        <v>543</v>
      </c>
      <c r="C1108" t="s">
        <v>537</v>
      </c>
      <c r="D1108">
        <v>20251231</v>
      </c>
      <c r="E1108">
        <v>4</v>
      </c>
      <c r="F1108" t="s">
        <v>538</v>
      </c>
      <c r="G1108" t="s">
        <v>539</v>
      </c>
      <c r="H1108" t="s">
        <v>539</v>
      </c>
      <c r="I1108">
        <v>13673000</v>
      </c>
    </row>
    <row r="1109" spans="1:9" x14ac:dyDescent="0.25">
      <c r="A1109" t="s">
        <v>222</v>
      </c>
      <c r="B1109" t="s">
        <v>542</v>
      </c>
      <c r="C1109" t="s">
        <v>537</v>
      </c>
      <c r="D1109">
        <v>20251231</v>
      </c>
      <c r="E1109">
        <v>4</v>
      </c>
      <c r="F1109" t="s">
        <v>538</v>
      </c>
      <c r="G1109" t="s">
        <v>539</v>
      </c>
      <c r="H1109" t="s">
        <v>539</v>
      </c>
      <c r="I1109">
        <v>2.0099999999999998</v>
      </c>
    </row>
    <row r="1110" spans="1:9" x14ac:dyDescent="0.25">
      <c r="A1110" t="s">
        <v>222</v>
      </c>
      <c r="B1110" t="s">
        <v>544</v>
      </c>
      <c r="C1110" t="s">
        <v>537</v>
      </c>
      <c r="D1110">
        <v>20251231</v>
      </c>
      <c r="E1110">
        <v>0</v>
      </c>
      <c r="F1110" t="s">
        <v>538</v>
      </c>
      <c r="G1110" t="s">
        <v>539</v>
      </c>
      <c r="H1110" t="s">
        <v>539</v>
      </c>
      <c r="I1110">
        <v>409588000</v>
      </c>
    </row>
    <row r="1111" spans="1:9" x14ac:dyDescent="0.25">
      <c r="A1111" t="s">
        <v>120</v>
      </c>
      <c r="B1111" t="s">
        <v>540</v>
      </c>
      <c r="C1111" t="s">
        <v>537</v>
      </c>
      <c r="D1111">
        <v>20251231</v>
      </c>
      <c r="E1111">
        <v>0</v>
      </c>
      <c r="F1111" t="s">
        <v>538</v>
      </c>
      <c r="G1111" t="s">
        <v>539</v>
      </c>
      <c r="H1111" t="s">
        <v>539</v>
      </c>
      <c r="I1111">
        <v>1154785000</v>
      </c>
    </row>
    <row r="1112" spans="1:9" x14ac:dyDescent="0.25">
      <c r="A1112" t="s">
        <v>194</v>
      </c>
      <c r="B1112" t="s">
        <v>543</v>
      </c>
      <c r="C1112" t="s">
        <v>537</v>
      </c>
      <c r="D1112">
        <v>20251231</v>
      </c>
      <c r="E1112">
        <v>4</v>
      </c>
      <c r="F1112" t="s">
        <v>538</v>
      </c>
      <c r="G1112" t="s">
        <v>539</v>
      </c>
      <c r="H1112" t="s">
        <v>539</v>
      </c>
      <c r="I1112">
        <v>17703000</v>
      </c>
    </row>
    <row r="1113" spans="1:9" x14ac:dyDescent="0.25">
      <c r="A1113" t="s">
        <v>196</v>
      </c>
      <c r="B1113" t="s">
        <v>540</v>
      </c>
      <c r="C1113" t="s">
        <v>537</v>
      </c>
      <c r="D1113">
        <v>20251231</v>
      </c>
      <c r="E1113">
        <v>0</v>
      </c>
      <c r="F1113" t="s">
        <v>538</v>
      </c>
      <c r="G1113" t="s">
        <v>539</v>
      </c>
      <c r="H1113" t="s">
        <v>539</v>
      </c>
      <c r="I1113">
        <v>2023116000</v>
      </c>
    </row>
    <row r="1114" spans="1:9" x14ac:dyDescent="0.25">
      <c r="A1114" t="s">
        <v>226</v>
      </c>
      <c r="B1114" t="s">
        <v>542</v>
      </c>
      <c r="C1114" t="s">
        <v>537</v>
      </c>
      <c r="D1114">
        <v>20251231</v>
      </c>
      <c r="E1114">
        <v>4</v>
      </c>
      <c r="F1114" t="s">
        <v>538</v>
      </c>
      <c r="G1114" t="s">
        <v>539</v>
      </c>
      <c r="H1114" t="s">
        <v>539</v>
      </c>
      <c r="I1114">
        <v>4.21</v>
      </c>
    </row>
    <row r="1115" spans="1:9" x14ac:dyDescent="0.25">
      <c r="A1115" t="s">
        <v>230</v>
      </c>
      <c r="B1115" t="s">
        <v>543</v>
      </c>
      <c r="C1115" t="s">
        <v>537</v>
      </c>
      <c r="D1115">
        <v>20251231</v>
      </c>
      <c r="E1115">
        <v>4</v>
      </c>
      <c r="F1115" t="s">
        <v>538</v>
      </c>
      <c r="G1115" t="s">
        <v>539</v>
      </c>
      <c r="H1115" t="s">
        <v>539</v>
      </c>
      <c r="I1115">
        <v>20237000</v>
      </c>
    </row>
    <row r="1116" spans="1:9" x14ac:dyDescent="0.25">
      <c r="A1116" t="s">
        <v>230</v>
      </c>
      <c r="B1116" t="s">
        <v>544</v>
      </c>
      <c r="C1116" t="s">
        <v>537</v>
      </c>
      <c r="D1116">
        <v>20251231</v>
      </c>
      <c r="E1116">
        <v>0</v>
      </c>
      <c r="F1116" t="s">
        <v>538</v>
      </c>
      <c r="G1116" t="s">
        <v>539</v>
      </c>
      <c r="H1116" t="s">
        <v>539</v>
      </c>
      <c r="I1116">
        <v>169219000</v>
      </c>
    </row>
    <row r="1117" spans="1:9" x14ac:dyDescent="0.25">
      <c r="A1117" t="s">
        <v>198</v>
      </c>
      <c r="B1117" t="s">
        <v>544</v>
      </c>
      <c r="C1117" t="s">
        <v>537</v>
      </c>
      <c r="D1117">
        <v>20251231</v>
      </c>
      <c r="E1117">
        <v>0</v>
      </c>
      <c r="F1117" t="s">
        <v>538</v>
      </c>
      <c r="G1117" t="s">
        <v>539</v>
      </c>
      <c r="H1117" t="s">
        <v>539</v>
      </c>
      <c r="I1117">
        <v>118399000</v>
      </c>
    </row>
    <row r="1118" spans="1:9" x14ac:dyDescent="0.25">
      <c r="A1118" t="s">
        <v>124</v>
      </c>
      <c r="B1118" t="s">
        <v>541</v>
      </c>
      <c r="C1118" t="s">
        <v>537</v>
      </c>
      <c r="D1118">
        <v>20251231</v>
      </c>
      <c r="E1118">
        <v>4</v>
      </c>
      <c r="F1118" t="s">
        <v>538</v>
      </c>
      <c r="G1118" t="s">
        <v>539</v>
      </c>
      <c r="H1118" t="s">
        <v>539</v>
      </c>
      <c r="I1118">
        <v>127713000</v>
      </c>
    </row>
    <row r="1119" spans="1:9" x14ac:dyDescent="0.25">
      <c r="A1119" t="s">
        <v>228</v>
      </c>
      <c r="B1119" t="s">
        <v>542</v>
      </c>
      <c r="C1119" t="s">
        <v>537</v>
      </c>
      <c r="D1119">
        <v>20251231</v>
      </c>
      <c r="E1119">
        <v>4</v>
      </c>
      <c r="F1119" t="s">
        <v>538</v>
      </c>
      <c r="G1119" t="s">
        <v>539</v>
      </c>
      <c r="H1119" t="s">
        <v>539</v>
      </c>
      <c r="I1119">
        <v>3.14</v>
      </c>
    </row>
    <row r="1120" spans="1:9" x14ac:dyDescent="0.25">
      <c r="A1120" t="s">
        <v>488</v>
      </c>
      <c r="B1120" t="s">
        <v>544</v>
      </c>
      <c r="C1120" t="s">
        <v>537</v>
      </c>
      <c r="D1120">
        <v>20251231</v>
      </c>
      <c r="E1120">
        <v>0</v>
      </c>
      <c r="F1120" t="s">
        <v>538</v>
      </c>
      <c r="G1120" t="s">
        <v>539</v>
      </c>
      <c r="H1120" t="s">
        <v>539</v>
      </c>
      <c r="I1120">
        <v>490959000</v>
      </c>
    </row>
    <row r="1121" spans="1:9" x14ac:dyDescent="0.25">
      <c r="A1121" t="s">
        <v>508</v>
      </c>
      <c r="B1121" t="s">
        <v>536</v>
      </c>
      <c r="C1121" t="s">
        <v>537</v>
      </c>
      <c r="D1121">
        <v>20251231</v>
      </c>
      <c r="E1121">
        <v>0</v>
      </c>
      <c r="F1121" t="s">
        <v>538</v>
      </c>
      <c r="G1121" t="s">
        <v>539</v>
      </c>
      <c r="H1121" t="s">
        <v>539</v>
      </c>
      <c r="I1121">
        <v>84828000000</v>
      </c>
    </row>
    <row r="1122" spans="1:9" x14ac:dyDescent="0.25">
      <c r="A1122" t="s">
        <v>490</v>
      </c>
      <c r="B1122" t="s">
        <v>540</v>
      </c>
      <c r="C1122" t="s">
        <v>537</v>
      </c>
      <c r="D1122">
        <v>20251231</v>
      </c>
      <c r="E1122">
        <v>0</v>
      </c>
      <c r="F1122" t="s">
        <v>538</v>
      </c>
      <c r="G1122" t="s">
        <v>539</v>
      </c>
      <c r="H1122" t="s">
        <v>539</v>
      </c>
      <c r="I1122">
        <v>15134778000</v>
      </c>
    </row>
    <row r="1123" spans="1:9" x14ac:dyDescent="0.25">
      <c r="A1123" t="s">
        <v>490</v>
      </c>
      <c r="B1123" t="s">
        <v>542</v>
      </c>
      <c r="C1123" t="s">
        <v>537</v>
      </c>
      <c r="D1123">
        <v>20251231</v>
      </c>
      <c r="E1123">
        <v>4</v>
      </c>
      <c r="F1123" t="s">
        <v>538</v>
      </c>
      <c r="G1123" t="s">
        <v>539</v>
      </c>
      <c r="H1123" t="s">
        <v>539</v>
      </c>
      <c r="I1123">
        <v>2.25</v>
      </c>
    </row>
    <row r="1124" spans="1:9" x14ac:dyDescent="0.25">
      <c r="A1124" t="s">
        <v>490</v>
      </c>
      <c r="B1124" t="s">
        <v>541</v>
      </c>
      <c r="C1124" t="s">
        <v>537</v>
      </c>
      <c r="D1124">
        <v>20251231</v>
      </c>
      <c r="E1124">
        <v>4</v>
      </c>
      <c r="F1124" t="s">
        <v>538</v>
      </c>
      <c r="G1124" t="s">
        <v>539</v>
      </c>
      <c r="H1124" t="s">
        <v>539</v>
      </c>
      <c r="I1124">
        <v>908472000</v>
      </c>
    </row>
    <row r="1125" spans="1:9" x14ac:dyDescent="0.25">
      <c r="A1125" t="s">
        <v>202</v>
      </c>
      <c r="B1125" t="s">
        <v>545</v>
      </c>
      <c r="C1125" t="s">
        <v>537</v>
      </c>
      <c r="D1125">
        <v>20251231</v>
      </c>
      <c r="E1125">
        <v>4</v>
      </c>
      <c r="F1125" t="s">
        <v>538</v>
      </c>
      <c r="G1125" t="s">
        <v>539</v>
      </c>
      <c r="H1125" t="s">
        <v>539</v>
      </c>
      <c r="I1125">
        <v>387867000</v>
      </c>
    </row>
    <row r="1126" spans="1:9" x14ac:dyDescent="0.25">
      <c r="A1126" t="s">
        <v>202</v>
      </c>
      <c r="B1126" t="s">
        <v>536</v>
      </c>
      <c r="C1126" t="s">
        <v>537</v>
      </c>
      <c r="D1126">
        <v>20251231</v>
      </c>
      <c r="E1126">
        <v>0</v>
      </c>
      <c r="F1126" t="s">
        <v>538</v>
      </c>
      <c r="G1126" t="s">
        <v>539</v>
      </c>
      <c r="H1126" t="s">
        <v>539</v>
      </c>
      <c r="I1126">
        <v>5947921000</v>
      </c>
    </row>
    <row r="1127" spans="1:9" x14ac:dyDescent="0.25">
      <c r="A1127" t="s">
        <v>504</v>
      </c>
      <c r="B1127" t="s">
        <v>541</v>
      </c>
      <c r="C1127" t="s">
        <v>537</v>
      </c>
      <c r="D1127">
        <v>20251231</v>
      </c>
      <c r="E1127">
        <v>4</v>
      </c>
      <c r="F1127" t="s">
        <v>538</v>
      </c>
      <c r="G1127" t="s">
        <v>539</v>
      </c>
      <c r="H1127" t="s">
        <v>539</v>
      </c>
      <c r="I1127">
        <v>465011000</v>
      </c>
    </row>
    <row r="1128" spans="1:9" x14ac:dyDescent="0.25">
      <c r="A1128" t="s">
        <v>510</v>
      </c>
      <c r="B1128" t="s">
        <v>540</v>
      </c>
      <c r="C1128" t="s">
        <v>537</v>
      </c>
      <c r="D1128">
        <v>20251231</v>
      </c>
      <c r="E1128">
        <v>0</v>
      </c>
      <c r="F1128" t="s">
        <v>538</v>
      </c>
      <c r="G1128" t="s">
        <v>539</v>
      </c>
      <c r="H1128" t="s">
        <v>539</v>
      </c>
      <c r="I1128">
        <v>184381000000</v>
      </c>
    </row>
    <row r="1129" spans="1:9" x14ac:dyDescent="0.25">
      <c r="A1129" t="s">
        <v>492</v>
      </c>
      <c r="B1129" t="s">
        <v>540</v>
      </c>
      <c r="C1129" t="s">
        <v>537</v>
      </c>
      <c r="D1129">
        <v>20251231</v>
      </c>
      <c r="E1129">
        <v>0</v>
      </c>
      <c r="F1129" t="s">
        <v>538</v>
      </c>
      <c r="G1129" t="s">
        <v>539</v>
      </c>
      <c r="H1129" t="s">
        <v>539</v>
      </c>
      <c r="I1129">
        <v>16766617000</v>
      </c>
    </row>
    <row r="1130" spans="1:9" x14ac:dyDescent="0.25">
      <c r="A1130" t="s">
        <v>232</v>
      </c>
      <c r="B1130" t="s">
        <v>543</v>
      </c>
      <c r="C1130" t="s">
        <v>537</v>
      </c>
      <c r="D1130">
        <v>20251231</v>
      </c>
      <c r="E1130">
        <v>4</v>
      </c>
      <c r="F1130" t="s">
        <v>538</v>
      </c>
      <c r="G1130" t="s">
        <v>539</v>
      </c>
      <c r="H1130" t="s">
        <v>539</v>
      </c>
      <c r="I1130">
        <v>11576767</v>
      </c>
    </row>
    <row r="1131" spans="1:9" x14ac:dyDescent="0.25">
      <c r="A1131" t="s">
        <v>266</v>
      </c>
      <c r="B1131" t="s">
        <v>544</v>
      </c>
      <c r="C1131" t="s">
        <v>537</v>
      </c>
      <c r="D1131">
        <v>20251231</v>
      </c>
      <c r="E1131">
        <v>0</v>
      </c>
      <c r="F1131" t="s">
        <v>538</v>
      </c>
      <c r="G1131" t="s">
        <v>539</v>
      </c>
      <c r="H1131" t="s">
        <v>539</v>
      </c>
      <c r="I1131">
        <v>94680000</v>
      </c>
    </row>
    <row r="1132" spans="1:9" x14ac:dyDescent="0.25">
      <c r="A1132" t="s">
        <v>512</v>
      </c>
      <c r="B1132" t="s">
        <v>543</v>
      </c>
      <c r="C1132" t="s">
        <v>537</v>
      </c>
      <c r="D1132">
        <v>20251231</v>
      </c>
      <c r="E1132">
        <v>4</v>
      </c>
      <c r="F1132" t="s">
        <v>538</v>
      </c>
      <c r="G1132" t="s">
        <v>539</v>
      </c>
      <c r="H1132" t="s">
        <v>539</v>
      </c>
      <c r="I1132">
        <v>-397553000</v>
      </c>
    </row>
    <row r="1133" spans="1:9" x14ac:dyDescent="0.25">
      <c r="A1133" t="s">
        <v>132</v>
      </c>
      <c r="B1133" t="s">
        <v>544</v>
      </c>
      <c r="C1133" t="s">
        <v>537</v>
      </c>
      <c r="D1133">
        <v>20251231</v>
      </c>
      <c r="E1133">
        <v>0</v>
      </c>
      <c r="F1133" t="s">
        <v>538</v>
      </c>
      <c r="G1133" t="s">
        <v>539</v>
      </c>
      <c r="H1133" t="s">
        <v>539</v>
      </c>
      <c r="I1133">
        <v>270712000</v>
      </c>
    </row>
    <row r="1134" spans="1:9" x14ac:dyDescent="0.25">
      <c r="A1134" t="s">
        <v>134</v>
      </c>
      <c r="B1134" t="s">
        <v>542</v>
      </c>
      <c r="C1134" t="s">
        <v>537</v>
      </c>
      <c r="D1134">
        <v>20251231</v>
      </c>
      <c r="E1134">
        <v>4</v>
      </c>
      <c r="F1134" t="s">
        <v>538</v>
      </c>
      <c r="G1134" t="s">
        <v>539</v>
      </c>
      <c r="H1134" t="s">
        <v>539</v>
      </c>
      <c r="I1134">
        <v>3.79</v>
      </c>
    </row>
    <row r="1135" spans="1:9" x14ac:dyDescent="0.25">
      <c r="A1135" t="s">
        <v>136</v>
      </c>
      <c r="B1135" t="s">
        <v>544</v>
      </c>
      <c r="C1135" t="s">
        <v>537</v>
      </c>
      <c r="D1135">
        <v>20251231</v>
      </c>
      <c r="E1135">
        <v>0</v>
      </c>
      <c r="F1135" t="s">
        <v>538</v>
      </c>
      <c r="G1135" t="s">
        <v>539</v>
      </c>
      <c r="H1135" t="s">
        <v>539</v>
      </c>
      <c r="I1135">
        <v>126280000</v>
      </c>
    </row>
    <row r="1136" spans="1:9" x14ac:dyDescent="0.25">
      <c r="A1136" t="s">
        <v>236</v>
      </c>
      <c r="B1136" t="s">
        <v>544</v>
      </c>
      <c r="C1136" t="s">
        <v>537</v>
      </c>
      <c r="D1136">
        <v>20251231</v>
      </c>
      <c r="E1136">
        <v>0</v>
      </c>
      <c r="F1136" t="s">
        <v>538</v>
      </c>
      <c r="G1136" t="s">
        <v>539</v>
      </c>
      <c r="H1136" t="s">
        <v>539</v>
      </c>
      <c r="I1136">
        <v>87569000</v>
      </c>
    </row>
    <row r="1137" spans="1:9" x14ac:dyDescent="0.25">
      <c r="A1137" t="s">
        <v>506</v>
      </c>
      <c r="B1137" t="s">
        <v>543</v>
      </c>
      <c r="C1137" t="s">
        <v>537</v>
      </c>
      <c r="D1137">
        <v>20251231</v>
      </c>
      <c r="E1137">
        <v>4</v>
      </c>
      <c r="F1137" t="s">
        <v>538</v>
      </c>
      <c r="G1137" t="s">
        <v>539</v>
      </c>
      <c r="H1137" t="s">
        <v>539</v>
      </c>
      <c r="I1137">
        <v>57048000000</v>
      </c>
    </row>
    <row r="1138" spans="1:9" x14ac:dyDescent="0.25">
      <c r="A1138" t="s">
        <v>240</v>
      </c>
      <c r="B1138" t="s">
        <v>544</v>
      </c>
      <c r="C1138" t="s">
        <v>537</v>
      </c>
      <c r="D1138">
        <v>20251231</v>
      </c>
      <c r="E1138">
        <v>0</v>
      </c>
      <c r="F1138" t="s">
        <v>538</v>
      </c>
      <c r="G1138" t="s">
        <v>539</v>
      </c>
      <c r="H1138" t="s">
        <v>539</v>
      </c>
      <c r="I1138">
        <v>113686978</v>
      </c>
    </row>
    <row r="1139" spans="1:9" x14ac:dyDescent="0.25">
      <c r="A1139" t="s">
        <v>242</v>
      </c>
      <c r="B1139" t="s">
        <v>543</v>
      </c>
      <c r="C1139" t="s">
        <v>537</v>
      </c>
      <c r="D1139">
        <v>20251231</v>
      </c>
      <c r="E1139">
        <v>4</v>
      </c>
      <c r="F1139" t="s">
        <v>538</v>
      </c>
      <c r="G1139" t="s">
        <v>539</v>
      </c>
      <c r="H1139" t="s">
        <v>539</v>
      </c>
      <c r="I1139">
        <v>11229000</v>
      </c>
    </row>
    <row r="1140" spans="1:9" x14ac:dyDescent="0.25">
      <c r="A1140" t="s">
        <v>236</v>
      </c>
      <c r="B1140" t="s">
        <v>543</v>
      </c>
      <c r="C1140" t="s">
        <v>537</v>
      </c>
      <c r="D1140">
        <v>20251231</v>
      </c>
      <c r="E1140">
        <v>4</v>
      </c>
      <c r="F1140" t="s">
        <v>538</v>
      </c>
      <c r="G1140" t="s">
        <v>539</v>
      </c>
      <c r="H1140" t="s">
        <v>539</v>
      </c>
      <c r="I1140">
        <v>-22937000</v>
      </c>
    </row>
    <row r="1141" spans="1:9" x14ac:dyDescent="0.25">
      <c r="A1141" t="s">
        <v>522</v>
      </c>
      <c r="B1141" t="s">
        <v>541</v>
      </c>
      <c r="C1141" t="s">
        <v>537</v>
      </c>
      <c r="D1141">
        <v>20251231</v>
      </c>
      <c r="E1141">
        <v>4</v>
      </c>
      <c r="F1141" t="s">
        <v>538</v>
      </c>
      <c r="G1141" t="s">
        <v>539</v>
      </c>
      <c r="H1141" t="s">
        <v>539</v>
      </c>
      <c r="I1141">
        <v>833926000</v>
      </c>
    </row>
    <row r="1142" spans="1:9" x14ac:dyDescent="0.25">
      <c r="A1142" t="s">
        <v>514</v>
      </c>
      <c r="B1142" t="s">
        <v>542</v>
      </c>
      <c r="C1142" t="s">
        <v>537</v>
      </c>
      <c r="D1142">
        <v>20251231</v>
      </c>
      <c r="E1142">
        <v>4</v>
      </c>
      <c r="F1142" t="s">
        <v>538</v>
      </c>
      <c r="G1142" t="s">
        <v>539</v>
      </c>
      <c r="H1142" t="s">
        <v>539</v>
      </c>
      <c r="I1142">
        <v>2.9</v>
      </c>
    </row>
    <row r="1143" spans="1:9" x14ac:dyDescent="0.25">
      <c r="A1143" t="s">
        <v>514</v>
      </c>
      <c r="B1143" t="s">
        <v>541</v>
      </c>
      <c r="C1143" t="s">
        <v>537</v>
      </c>
      <c r="D1143">
        <v>20251231</v>
      </c>
      <c r="E1143">
        <v>4</v>
      </c>
      <c r="F1143" t="s">
        <v>538</v>
      </c>
      <c r="G1143" t="s">
        <v>539</v>
      </c>
      <c r="H1143" t="s">
        <v>539</v>
      </c>
      <c r="I1143">
        <v>248933000</v>
      </c>
    </row>
    <row r="1144" spans="1:9" x14ac:dyDescent="0.25">
      <c r="A1144" t="s">
        <v>516</v>
      </c>
      <c r="B1144" t="s">
        <v>536</v>
      </c>
      <c r="C1144" t="s">
        <v>537</v>
      </c>
      <c r="D1144">
        <v>20251231</v>
      </c>
      <c r="E1144">
        <v>0</v>
      </c>
      <c r="F1144" t="s">
        <v>538</v>
      </c>
      <c r="G1144" t="s">
        <v>539</v>
      </c>
      <c r="H1144" t="s">
        <v>539</v>
      </c>
      <c r="I1144">
        <v>17786544000</v>
      </c>
    </row>
    <row r="1145" spans="1:9" x14ac:dyDescent="0.25">
      <c r="A1145" t="s">
        <v>516</v>
      </c>
      <c r="B1145" t="s">
        <v>543</v>
      </c>
      <c r="C1145" t="s">
        <v>537</v>
      </c>
      <c r="D1145">
        <v>20251231</v>
      </c>
      <c r="E1145">
        <v>4</v>
      </c>
      <c r="F1145" t="s">
        <v>538</v>
      </c>
      <c r="G1145" t="s">
        <v>539</v>
      </c>
      <c r="H1145" t="s">
        <v>539</v>
      </c>
      <c r="I1145">
        <v>144878000</v>
      </c>
    </row>
    <row r="1146" spans="1:9" x14ac:dyDescent="0.25">
      <c r="A1146" t="s">
        <v>518</v>
      </c>
      <c r="B1146" t="s">
        <v>543</v>
      </c>
      <c r="C1146" t="s">
        <v>537</v>
      </c>
      <c r="D1146">
        <v>20251231</v>
      </c>
      <c r="E1146">
        <v>4</v>
      </c>
      <c r="F1146" t="s">
        <v>538</v>
      </c>
      <c r="G1146" t="s">
        <v>539</v>
      </c>
      <c r="H1146" t="s">
        <v>539</v>
      </c>
      <c r="I1146">
        <v>13188000</v>
      </c>
    </row>
    <row r="1147" spans="1:9" x14ac:dyDescent="0.25">
      <c r="A1147" t="s">
        <v>520</v>
      </c>
      <c r="B1147" t="s">
        <v>541</v>
      </c>
      <c r="C1147" t="s">
        <v>537</v>
      </c>
      <c r="D1147">
        <v>20251231</v>
      </c>
      <c r="E1147">
        <v>4</v>
      </c>
      <c r="F1147" t="s">
        <v>538</v>
      </c>
      <c r="G1147" t="s">
        <v>539</v>
      </c>
      <c r="H1147" t="s">
        <v>539</v>
      </c>
      <c r="I1147">
        <v>1676653000</v>
      </c>
    </row>
    <row r="1148" spans="1:9" x14ac:dyDescent="0.25">
      <c r="A1148" t="s">
        <v>218</v>
      </c>
      <c r="B1148" t="s">
        <v>540</v>
      </c>
      <c r="C1148" t="s">
        <v>537</v>
      </c>
      <c r="D1148">
        <v>20251231</v>
      </c>
      <c r="E1148">
        <v>0</v>
      </c>
      <c r="F1148" t="s">
        <v>538</v>
      </c>
      <c r="G1148" t="s">
        <v>539</v>
      </c>
      <c r="H1148" t="s">
        <v>539</v>
      </c>
      <c r="I1148">
        <v>5764697000</v>
      </c>
    </row>
    <row r="1149" spans="1:9" x14ac:dyDescent="0.25">
      <c r="A1149" t="s">
        <v>512</v>
      </c>
      <c r="B1149" t="s">
        <v>536</v>
      </c>
      <c r="C1149" t="s">
        <v>537</v>
      </c>
      <c r="D1149">
        <v>20251231</v>
      </c>
      <c r="E1149">
        <v>0</v>
      </c>
      <c r="F1149" t="s">
        <v>538</v>
      </c>
      <c r="G1149" t="s">
        <v>539</v>
      </c>
      <c r="H1149" t="s">
        <v>539</v>
      </c>
      <c r="I1149">
        <v>21121637000</v>
      </c>
    </row>
    <row r="1150" spans="1:9" x14ac:dyDescent="0.25">
      <c r="A1150" t="s">
        <v>222</v>
      </c>
      <c r="B1150" t="s">
        <v>543</v>
      </c>
      <c r="C1150" t="s">
        <v>537</v>
      </c>
      <c r="D1150">
        <v>20251231</v>
      </c>
      <c r="E1150">
        <v>4</v>
      </c>
      <c r="F1150" t="s">
        <v>538</v>
      </c>
      <c r="G1150" t="s">
        <v>539</v>
      </c>
      <c r="H1150" t="s">
        <v>539</v>
      </c>
      <c r="I1150">
        <v>38168000</v>
      </c>
    </row>
    <row r="1151" spans="1:9" x14ac:dyDescent="0.25">
      <c r="A1151" t="s">
        <v>244</v>
      </c>
      <c r="B1151" t="s">
        <v>542</v>
      </c>
      <c r="C1151" t="s">
        <v>537</v>
      </c>
      <c r="D1151">
        <v>20251231</v>
      </c>
      <c r="E1151">
        <v>4</v>
      </c>
      <c r="F1151" t="s">
        <v>538</v>
      </c>
      <c r="G1151" t="s">
        <v>539</v>
      </c>
      <c r="H1151" t="s">
        <v>539</v>
      </c>
      <c r="I1151">
        <v>1.22</v>
      </c>
    </row>
    <row r="1152" spans="1:9" x14ac:dyDescent="0.25">
      <c r="A1152" t="s">
        <v>244</v>
      </c>
      <c r="B1152" t="s">
        <v>544</v>
      </c>
      <c r="C1152" t="s">
        <v>537</v>
      </c>
      <c r="D1152">
        <v>20251231</v>
      </c>
      <c r="E1152">
        <v>0</v>
      </c>
      <c r="F1152" t="s">
        <v>538</v>
      </c>
      <c r="G1152" t="s">
        <v>539</v>
      </c>
      <c r="H1152" t="s">
        <v>539</v>
      </c>
      <c r="I1152">
        <v>253600000</v>
      </c>
    </row>
    <row r="1153" spans="1:9" x14ac:dyDescent="0.25">
      <c r="A1153" t="s">
        <v>218</v>
      </c>
      <c r="B1153" t="s">
        <v>542</v>
      </c>
      <c r="C1153" t="s">
        <v>537</v>
      </c>
      <c r="D1153">
        <v>20251231</v>
      </c>
      <c r="E1153">
        <v>4</v>
      </c>
      <c r="F1153" t="s">
        <v>538</v>
      </c>
      <c r="G1153" t="s">
        <v>539</v>
      </c>
      <c r="H1153" t="s">
        <v>539</v>
      </c>
      <c r="I1153">
        <v>0.78</v>
      </c>
    </row>
    <row r="1154" spans="1:9" x14ac:dyDescent="0.25">
      <c r="A1154" t="s">
        <v>218</v>
      </c>
      <c r="B1154" t="s">
        <v>544</v>
      </c>
      <c r="C1154" t="s">
        <v>537</v>
      </c>
      <c r="D1154">
        <v>20251231</v>
      </c>
      <c r="E1154">
        <v>0</v>
      </c>
      <c r="F1154" t="s">
        <v>538</v>
      </c>
      <c r="G1154" t="s">
        <v>539</v>
      </c>
      <c r="H1154" t="s">
        <v>539</v>
      </c>
      <c r="I1154">
        <v>708566000</v>
      </c>
    </row>
    <row r="1155" spans="1:9" x14ac:dyDescent="0.25">
      <c r="A1155" t="s">
        <v>246</v>
      </c>
      <c r="B1155" t="s">
        <v>544</v>
      </c>
      <c r="C1155" t="s">
        <v>537</v>
      </c>
      <c r="D1155">
        <v>20251231</v>
      </c>
      <c r="E1155">
        <v>0</v>
      </c>
      <c r="F1155" t="s">
        <v>538</v>
      </c>
      <c r="G1155" t="s">
        <v>539</v>
      </c>
      <c r="H1155" t="s">
        <v>539</v>
      </c>
      <c r="I1155">
        <v>1153356000</v>
      </c>
    </row>
    <row r="1156" spans="1:9" x14ac:dyDescent="0.25">
      <c r="A1156" t="s">
        <v>228</v>
      </c>
      <c r="B1156" t="s">
        <v>544</v>
      </c>
      <c r="C1156" t="s">
        <v>537</v>
      </c>
      <c r="D1156">
        <v>20251231</v>
      </c>
      <c r="E1156">
        <v>0</v>
      </c>
      <c r="F1156" t="s">
        <v>538</v>
      </c>
      <c r="G1156" t="s">
        <v>539</v>
      </c>
      <c r="H1156" t="s">
        <v>539</v>
      </c>
      <c r="I1156">
        <v>254709000</v>
      </c>
    </row>
    <row r="1157" spans="1:9" x14ac:dyDescent="0.25">
      <c r="A1157" t="s">
        <v>222</v>
      </c>
      <c r="B1157" t="s">
        <v>536</v>
      </c>
      <c r="C1157" t="s">
        <v>537</v>
      </c>
      <c r="D1157">
        <v>20251231</v>
      </c>
      <c r="E1157">
        <v>0</v>
      </c>
      <c r="F1157" t="s">
        <v>538</v>
      </c>
      <c r="G1157" t="s">
        <v>539</v>
      </c>
      <c r="H1157" t="s">
        <v>539</v>
      </c>
      <c r="I1157">
        <v>3280729000</v>
      </c>
    </row>
    <row r="1158" spans="1:9" x14ac:dyDescent="0.25">
      <c r="A1158" t="s">
        <v>248</v>
      </c>
      <c r="B1158" t="s">
        <v>541</v>
      </c>
      <c r="C1158" t="s">
        <v>537</v>
      </c>
      <c r="D1158">
        <v>20251231</v>
      </c>
      <c r="E1158">
        <v>4</v>
      </c>
      <c r="F1158" t="s">
        <v>538</v>
      </c>
      <c r="G1158" t="s">
        <v>539</v>
      </c>
      <c r="H1158" t="s">
        <v>539</v>
      </c>
      <c r="I1158">
        <v>150328000</v>
      </c>
    </row>
    <row r="1159" spans="1:9" x14ac:dyDescent="0.25">
      <c r="A1159" t="s">
        <v>248</v>
      </c>
      <c r="B1159" t="s">
        <v>536</v>
      </c>
      <c r="C1159" t="s">
        <v>537</v>
      </c>
      <c r="D1159">
        <v>20251231</v>
      </c>
      <c r="E1159">
        <v>0</v>
      </c>
      <c r="F1159" t="s">
        <v>538</v>
      </c>
      <c r="G1159" t="s">
        <v>539</v>
      </c>
      <c r="H1159" t="s">
        <v>539</v>
      </c>
      <c r="I1159">
        <v>2422333000</v>
      </c>
    </row>
    <row r="1160" spans="1:9" x14ac:dyDescent="0.25">
      <c r="A1160" t="s">
        <v>224</v>
      </c>
      <c r="B1160" t="s">
        <v>536</v>
      </c>
      <c r="C1160" t="s">
        <v>537</v>
      </c>
      <c r="D1160">
        <v>20251231</v>
      </c>
      <c r="E1160">
        <v>0</v>
      </c>
      <c r="F1160" t="s">
        <v>538</v>
      </c>
      <c r="G1160" t="s">
        <v>539</v>
      </c>
      <c r="H1160" t="s">
        <v>539</v>
      </c>
      <c r="I1160">
        <v>2808152000</v>
      </c>
    </row>
    <row r="1161" spans="1:9" x14ac:dyDescent="0.25">
      <c r="A1161" t="s">
        <v>224</v>
      </c>
      <c r="B1161" t="s">
        <v>543</v>
      </c>
      <c r="C1161" t="s">
        <v>537</v>
      </c>
      <c r="D1161">
        <v>20251231</v>
      </c>
      <c r="E1161">
        <v>4</v>
      </c>
      <c r="F1161" t="s">
        <v>538</v>
      </c>
      <c r="G1161" t="s">
        <v>539</v>
      </c>
      <c r="H1161" t="s">
        <v>539</v>
      </c>
      <c r="I1161">
        <v>37051000</v>
      </c>
    </row>
    <row r="1162" spans="1:9" x14ac:dyDescent="0.25">
      <c r="A1162" t="s">
        <v>230</v>
      </c>
      <c r="B1162" t="s">
        <v>540</v>
      </c>
      <c r="C1162" t="s">
        <v>537</v>
      </c>
      <c r="D1162">
        <v>20251231</v>
      </c>
      <c r="E1162">
        <v>0</v>
      </c>
      <c r="F1162" t="s">
        <v>538</v>
      </c>
      <c r="G1162" t="s">
        <v>539</v>
      </c>
      <c r="H1162" t="s">
        <v>539</v>
      </c>
      <c r="I1162">
        <v>1750399000</v>
      </c>
    </row>
    <row r="1163" spans="1:9" x14ac:dyDescent="0.25">
      <c r="A1163" t="s">
        <v>230</v>
      </c>
      <c r="B1163" t="s">
        <v>541</v>
      </c>
      <c r="C1163" t="s">
        <v>537</v>
      </c>
      <c r="D1163">
        <v>20251231</v>
      </c>
      <c r="E1163">
        <v>4</v>
      </c>
      <c r="F1163" t="s">
        <v>538</v>
      </c>
      <c r="G1163" t="s">
        <v>539</v>
      </c>
      <c r="H1163" t="s">
        <v>539</v>
      </c>
      <c r="I1163">
        <v>55843000</v>
      </c>
    </row>
    <row r="1164" spans="1:9" x14ac:dyDescent="0.25">
      <c r="A1164" t="s">
        <v>226</v>
      </c>
      <c r="B1164" t="s">
        <v>540</v>
      </c>
      <c r="C1164" t="s">
        <v>537</v>
      </c>
      <c r="D1164">
        <v>20251231</v>
      </c>
      <c r="E1164">
        <v>0</v>
      </c>
      <c r="F1164" t="s">
        <v>538</v>
      </c>
      <c r="G1164" t="s">
        <v>539</v>
      </c>
      <c r="H1164" t="s">
        <v>539</v>
      </c>
      <c r="I1164">
        <v>5542255000</v>
      </c>
    </row>
    <row r="1165" spans="1:9" x14ac:dyDescent="0.25">
      <c r="A1165" t="s">
        <v>226</v>
      </c>
      <c r="B1165" t="s">
        <v>536</v>
      </c>
      <c r="C1165" t="s">
        <v>537</v>
      </c>
      <c r="D1165">
        <v>20251231</v>
      </c>
      <c r="E1165">
        <v>0</v>
      </c>
      <c r="F1165" t="s">
        <v>538</v>
      </c>
      <c r="G1165" t="s">
        <v>539</v>
      </c>
      <c r="H1165" t="s">
        <v>539</v>
      </c>
      <c r="I1165">
        <v>4950720000</v>
      </c>
    </row>
    <row r="1166" spans="1:9" x14ac:dyDescent="0.25">
      <c r="A1166" t="s">
        <v>514</v>
      </c>
      <c r="B1166" t="s">
        <v>543</v>
      </c>
      <c r="C1166" t="s">
        <v>537</v>
      </c>
      <c r="D1166">
        <v>20251231</v>
      </c>
      <c r="E1166">
        <v>4</v>
      </c>
      <c r="F1166" t="s">
        <v>538</v>
      </c>
      <c r="G1166" t="s">
        <v>539</v>
      </c>
      <c r="H1166" t="s">
        <v>539</v>
      </c>
      <c r="I1166">
        <v>61606000</v>
      </c>
    </row>
    <row r="1167" spans="1:9" x14ac:dyDescent="0.25">
      <c r="A1167" t="s">
        <v>518</v>
      </c>
      <c r="B1167" t="s">
        <v>544</v>
      </c>
      <c r="C1167" t="s">
        <v>537</v>
      </c>
      <c r="D1167">
        <v>20251231</v>
      </c>
      <c r="E1167">
        <v>0</v>
      </c>
      <c r="F1167" t="s">
        <v>538</v>
      </c>
      <c r="G1167" t="s">
        <v>539</v>
      </c>
      <c r="H1167" t="s">
        <v>539</v>
      </c>
      <c r="I1167">
        <v>265560000</v>
      </c>
    </row>
    <row r="1168" spans="1:9" x14ac:dyDescent="0.25">
      <c r="A1168" t="s">
        <v>234</v>
      </c>
      <c r="B1168" t="s">
        <v>543</v>
      </c>
      <c r="C1168" t="s">
        <v>537</v>
      </c>
      <c r="D1168">
        <v>20251231</v>
      </c>
      <c r="E1168">
        <v>4</v>
      </c>
      <c r="F1168" t="s">
        <v>538</v>
      </c>
      <c r="G1168" t="s">
        <v>539</v>
      </c>
      <c r="H1168" t="s">
        <v>539</v>
      </c>
      <c r="I1168">
        <v>390853000</v>
      </c>
    </row>
    <row r="1169" spans="1:9" x14ac:dyDescent="0.25">
      <c r="A1169" t="s">
        <v>520</v>
      </c>
      <c r="B1169" t="s">
        <v>536</v>
      </c>
      <c r="C1169" t="s">
        <v>537</v>
      </c>
      <c r="D1169">
        <v>20251231</v>
      </c>
      <c r="E1169">
        <v>0</v>
      </c>
      <c r="F1169" t="s">
        <v>538</v>
      </c>
      <c r="G1169" t="s">
        <v>539</v>
      </c>
      <c r="H1169" t="s">
        <v>539</v>
      </c>
      <c r="I1169">
        <v>31256165000</v>
      </c>
    </row>
    <row r="1170" spans="1:9" x14ac:dyDescent="0.25">
      <c r="A1170" t="s">
        <v>204</v>
      </c>
      <c r="B1170" t="s">
        <v>542</v>
      </c>
      <c r="C1170" t="s">
        <v>537</v>
      </c>
      <c r="D1170">
        <v>20251231</v>
      </c>
      <c r="E1170">
        <v>4</v>
      </c>
      <c r="F1170" t="s">
        <v>538</v>
      </c>
      <c r="G1170" t="s">
        <v>539</v>
      </c>
      <c r="H1170" t="s">
        <v>539</v>
      </c>
      <c r="I1170">
        <v>5.73</v>
      </c>
    </row>
    <row r="1171" spans="1:9" x14ac:dyDescent="0.25">
      <c r="A1171" t="s">
        <v>250</v>
      </c>
      <c r="B1171" t="s">
        <v>540</v>
      </c>
      <c r="C1171" t="s">
        <v>546</v>
      </c>
      <c r="D1171">
        <v>20251231</v>
      </c>
      <c r="E1171">
        <v>0</v>
      </c>
      <c r="F1171" t="s">
        <v>538</v>
      </c>
      <c r="G1171" t="s">
        <v>539</v>
      </c>
      <c r="H1171" t="s">
        <v>539</v>
      </c>
      <c r="I1171">
        <v>2593677000</v>
      </c>
    </row>
    <row r="1172" spans="1:9" x14ac:dyDescent="0.25">
      <c r="A1172" t="s">
        <v>250</v>
      </c>
      <c r="B1172" t="s">
        <v>542</v>
      </c>
      <c r="C1172" t="s">
        <v>546</v>
      </c>
      <c r="D1172">
        <v>20251231</v>
      </c>
      <c r="E1172">
        <v>4</v>
      </c>
      <c r="F1172" t="s">
        <v>538</v>
      </c>
      <c r="G1172" t="s">
        <v>539</v>
      </c>
      <c r="H1172" t="s">
        <v>539</v>
      </c>
      <c r="I1172">
        <v>2.1800000000000002</v>
      </c>
    </row>
    <row r="1173" spans="1:9" x14ac:dyDescent="0.25">
      <c r="A1173" t="s">
        <v>250</v>
      </c>
      <c r="B1173" t="s">
        <v>543</v>
      </c>
      <c r="C1173" t="s">
        <v>546</v>
      </c>
      <c r="D1173">
        <v>20251231</v>
      </c>
      <c r="E1173">
        <v>4</v>
      </c>
      <c r="F1173" t="s">
        <v>538</v>
      </c>
      <c r="G1173" t="s">
        <v>539</v>
      </c>
      <c r="H1173" t="s">
        <v>539</v>
      </c>
      <c r="I1173">
        <v>23931000</v>
      </c>
    </row>
    <row r="1174" spans="1:9" x14ac:dyDescent="0.25">
      <c r="A1174" t="s">
        <v>232</v>
      </c>
      <c r="B1174" t="s">
        <v>536</v>
      </c>
      <c r="C1174" t="s">
        <v>537</v>
      </c>
      <c r="D1174">
        <v>20251231</v>
      </c>
      <c r="E1174">
        <v>0</v>
      </c>
      <c r="F1174" t="s">
        <v>538</v>
      </c>
      <c r="G1174" t="s">
        <v>539</v>
      </c>
      <c r="H1174" t="s">
        <v>539</v>
      </c>
      <c r="I1174">
        <v>1380009440</v>
      </c>
    </row>
    <row r="1175" spans="1:9" x14ac:dyDescent="0.25">
      <c r="A1175" t="s">
        <v>524</v>
      </c>
      <c r="B1175" t="s">
        <v>542</v>
      </c>
      <c r="C1175" t="s">
        <v>537</v>
      </c>
      <c r="D1175">
        <v>20251231</v>
      </c>
      <c r="E1175">
        <v>4</v>
      </c>
      <c r="F1175" t="s">
        <v>538</v>
      </c>
      <c r="G1175" t="s">
        <v>539</v>
      </c>
      <c r="H1175" t="s">
        <v>539</v>
      </c>
      <c r="I1175">
        <v>1.26</v>
      </c>
    </row>
    <row r="1176" spans="1:9" x14ac:dyDescent="0.25">
      <c r="A1176" t="s">
        <v>524</v>
      </c>
      <c r="B1176" t="s">
        <v>541</v>
      </c>
      <c r="C1176" t="s">
        <v>537</v>
      </c>
      <c r="D1176">
        <v>20251231</v>
      </c>
      <c r="E1176">
        <v>4</v>
      </c>
      <c r="F1176" t="s">
        <v>538</v>
      </c>
      <c r="G1176" t="s">
        <v>539</v>
      </c>
      <c r="H1176" t="s">
        <v>539</v>
      </c>
      <c r="I1176">
        <v>597428000</v>
      </c>
    </row>
    <row r="1177" spans="1:9" x14ac:dyDescent="0.25">
      <c r="A1177" t="s">
        <v>524</v>
      </c>
      <c r="B1177" t="s">
        <v>536</v>
      </c>
      <c r="C1177" t="s">
        <v>537</v>
      </c>
      <c r="D1177">
        <v>20251231</v>
      </c>
      <c r="E1177">
        <v>0</v>
      </c>
      <c r="F1177" t="s">
        <v>538</v>
      </c>
      <c r="G1177" t="s">
        <v>539</v>
      </c>
      <c r="H1177" t="s">
        <v>539</v>
      </c>
      <c r="I1177">
        <v>8838216000</v>
      </c>
    </row>
    <row r="1178" spans="1:9" x14ac:dyDescent="0.25">
      <c r="A1178" t="s">
        <v>524</v>
      </c>
      <c r="B1178" t="s">
        <v>543</v>
      </c>
      <c r="C1178" t="s">
        <v>537</v>
      </c>
      <c r="D1178">
        <v>20251231</v>
      </c>
      <c r="E1178">
        <v>4</v>
      </c>
      <c r="F1178" t="s">
        <v>538</v>
      </c>
      <c r="G1178" t="s">
        <v>539</v>
      </c>
      <c r="H1178" t="s">
        <v>539</v>
      </c>
      <c r="I1178">
        <v>52417000</v>
      </c>
    </row>
    <row r="1179" spans="1:9" x14ac:dyDescent="0.25">
      <c r="A1179" t="s">
        <v>524</v>
      </c>
      <c r="B1179" t="s">
        <v>544</v>
      </c>
      <c r="C1179" t="s">
        <v>537</v>
      </c>
      <c r="D1179">
        <v>20251231</v>
      </c>
      <c r="E1179">
        <v>0</v>
      </c>
      <c r="F1179" t="s">
        <v>538</v>
      </c>
      <c r="G1179" t="s">
        <v>539</v>
      </c>
      <c r="H1179" t="s">
        <v>539</v>
      </c>
      <c r="I1179">
        <v>938802000</v>
      </c>
    </row>
    <row r="1180" spans="1:9" x14ac:dyDescent="0.25">
      <c r="A1180" t="s">
        <v>254</v>
      </c>
      <c r="B1180" t="s">
        <v>542</v>
      </c>
      <c r="C1180" t="s">
        <v>537</v>
      </c>
      <c r="D1180">
        <v>20251231</v>
      </c>
      <c r="E1180">
        <v>4</v>
      </c>
      <c r="F1180" t="s">
        <v>538</v>
      </c>
      <c r="G1180" t="s">
        <v>539</v>
      </c>
      <c r="H1180" t="s">
        <v>539</v>
      </c>
      <c r="I1180">
        <v>1.93</v>
      </c>
    </row>
    <row r="1181" spans="1:9" x14ac:dyDescent="0.25">
      <c r="A1181" t="s">
        <v>218</v>
      </c>
      <c r="B1181" t="s">
        <v>543</v>
      </c>
      <c r="C1181" t="s">
        <v>537</v>
      </c>
      <c r="D1181">
        <v>20251231</v>
      </c>
      <c r="E1181">
        <v>4</v>
      </c>
      <c r="F1181" t="s">
        <v>538</v>
      </c>
      <c r="G1181" t="s">
        <v>539</v>
      </c>
      <c r="H1181" t="s">
        <v>539</v>
      </c>
      <c r="I1181">
        <v>47830000</v>
      </c>
    </row>
    <row r="1182" spans="1:9" x14ac:dyDescent="0.25">
      <c r="A1182" t="s">
        <v>236</v>
      </c>
      <c r="B1182" t="s">
        <v>545</v>
      </c>
      <c r="C1182" t="s">
        <v>537</v>
      </c>
      <c r="D1182">
        <v>20251231</v>
      </c>
      <c r="E1182">
        <v>4</v>
      </c>
      <c r="F1182" t="s">
        <v>538</v>
      </c>
      <c r="G1182" t="s">
        <v>539</v>
      </c>
      <c r="H1182" t="s">
        <v>539</v>
      </c>
      <c r="I1182">
        <v>85794000</v>
      </c>
    </row>
    <row r="1183" spans="1:9" x14ac:dyDescent="0.25">
      <c r="A1183" t="s">
        <v>236</v>
      </c>
      <c r="B1183" t="s">
        <v>536</v>
      </c>
      <c r="C1183" t="s">
        <v>537</v>
      </c>
      <c r="D1183">
        <v>20251231</v>
      </c>
      <c r="E1183">
        <v>0</v>
      </c>
      <c r="F1183" t="s">
        <v>538</v>
      </c>
      <c r="G1183" t="s">
        <v>539</v>
      </c>
      <c r="H1183" t="s">
        <v>539</v>
      </c>
      <c r="I1183">
        <v>1212689000</v>
      </c>
    </row>
    <row r="1184" spans="1:9" x14ac:dyDescent="0.25">
      <c r="A1184" t="s">
        <v>226</v>
      </c>
      <c r="B1184" t="s">
        <v>541</v>
      </c>
      <c r="C1184" t="s">
        <v>537</v>
      </c>
      <c r="D1184">
        <v>20251231</v>
      </c>
      <c r="E1184">
        <v>4</v>
      </c>
      <c r="F1184" t="s">
        <v>538</v>
      </c>
      <c r="G1184" t="s">
        <v>539</v>
      </c>
      <c r="H1184" t="s">
        <v>539</v>
      </c>
      <c r="I1184">
        <v>303734000</v>
      </c>
    </row>
    <row r="1185" spans="1:9" x14ac:dyDescent="0.25">
      <c r="A1185" t="s">
        <v>522</v>
      </c>
      <c r="B1185" t="s">
        <v>543</v>
      </c>
      <c r="C1185" t="s">
        <v>537</v>
      </c>
      <c r="D1185">
        <v>20251231</v>
      </c>
      <c r="E1185">
        <v>4</v>
      </c>
      <c r="F1185" t="s">
        <v>538</v>
      </c>
      <c r="G1185" t="s">
        <v>539</v>
      </c>
      <c r="H1185" t="s">
        <v>539</v>
      </c>
      <c r="I1185">
        <v>122622000</v>
      </c>
    </row>
    <row r="1186" spans="1:9" x14ac:dyDescent="0.25">
      <c r="A1186" t="s">
        <v>238</v>
      </c>
      <c r="B1186" t="s">
        <v>542</v>
      </c>
      <c r="C1186" t="s">
        <v>537</v>
      </c>
      <c r="D1186">
        <v>20251231</v>
      </c>
      <c r="E1186">
        <v>4</v>
      </c>
      <c r="F1186" t="s">
        <v>538</v>
      </c>
      <c r="G1186" t="s">
        <v>539</v>
      </c>
      <c r="H1186" t="s">
        <v>539</v>
      </c>
      <c r="I1186">
        <v>3.74</v>
      </c>
    </row>
    <row r="1187" spans="1:9" x14ac:dyDescent="0.25">
      <c r="A1187" t="s">
        <v>238</v>
      </c>
      <c r="B1187" t="s">
        <v>544</v>
      </c>
      <c r="C1187" t="s">
        <v>537</v>
      </c>
      <c r="D1187">
        <v>20251231</v>
      </c>
      <c r="E1187">
        <v>0</v>
      </c>
      <c r="F1187" t="s">
        <v>538</v>
      </c>
      <c r="G1187" t="s">
        <v>539</v>
      </c>
      <c r="H1187" t="s">
        <v>539</v>
      </c>
      <c r="I1187">
        <v>157118000</v>
      </c>
    </row>
    <row r="1188" spans="1:9" x14ac:dyDescent="0.25">
      <c r="A1188" t="s">
        <v>240</v>
      </c>
      <c r="B1188" t="s">
        <v>541</v>
      </c>
      <c r="C1188" t="s">
        <v>537</v>
      </c>
      <c r="D1188">
        <v>20251231</v>
      </c>
      <c r="E1188">
        <v>4</v>
      </c>
      <c r="F1188" t="s">
        <v>538</v>
      </c>
      <c r="G1188" t="s">
        <v>539</v>
      </c>
      <c r="H1188" t="s">
        <v>539</v>
      </c>
      <c r="I1188">
        <v>60879859</v>
      </c>
    </row>
    <row r="1189" spans="1:9" x14ac:dyDescent="0.25">
      <c r="A1189" t="s">
        <v>240</v>
      </c>
      <c r="B1189" t="s">
        <v>536</v>
      </c>
      <c r="C1189" t="s">
        <v>537</v>
      </c>
      <c r="D1189">
        <v>20251231</v>
      </c>
      <c r="E1189">
        <v>0</v>
      </c>
      <c r="F1189" t="s">
        <v>538</v>
      </c>
      <c r="G1189" t="s">
        <v>539</v>
      </c>
      <c r="H1189" t="s">
        <v>539</v>
      </c>
      <c r="I1189">
        <v>1173871968</v>
      </c>
    </row>
    <row r="1190" spans="1:9" x14ac:dyDescent="0.25">
      <c r="A1190" t="s">
        <v>256</v>
      </c>
      <c r="B1190" t="s">
        <v>540</v>
      </c>
      <c r="C1190" t="s">
        <v>537</v>
      </c>
      <c r="D1190">
        <v>20251231</v>
      </c>
      <c r="E1190">
        <v>0</v>
      </c>
      <c r="F1190" t="s">
        <v>538</v>
      </c>
      <c r="G1190" t="s">
        <v>539</v>
      </c>
      <c r="H1190" t="s">
        <v>539</v>
      </c>
      <c r="I1190">
        <v>4033386000</v>
      </c>
    </row>
    <row r="1191" spans="1:9" x14ac:dyDescent="0.25">
      <c r="A1191" t="s">
        <v>236</v>
      </c>
      <c r="B1191" t="s">
        <v>542</v>
      </c>
      <c r="C1191" t="s">
        <v>537</v>
      </c>
      <c r="D1191">
        <v>20251231</v>
      </c>
      <c r="E1191">
        <v>4</v>
      </c>
      <c r="F1191" t="s">
        <v>538</v>
      </c>
      <c r="G1191" t="s">
        <v>539</v>
      </c>
      <c r="H1191" t="s">
        <v>539</v>
      </c>
      <c r="I1191">
        <v>-5.93</v>
      </c>
    </row>
    <row r="1192" spans="1:9" x14ac:dyDescent="0.25">
      <c r="A1192" t="s">
        <v>230</v>
      </c>
      <c r="B1192" t="s">
        <v>542</v>
      </c>
      <c r="C1192" t="s">
        <v>537</v>
      </c>
      <c r="D1192">
        <v>20251231</v>
      </c>
      <c r="E1192">
        <v>4</v>
      </c>
      <c r="F1192" t="s">
        <v>538</v>
      </c>
      <c r="G1192" t="s">
        <v>539</v>
      </c>
      <c r="H1192" t="s">
        <v>539</v>
      </c>
      <c r="I1192">
        <v>3.08</v>
      </c>
    </row>
    <row r="1193" spans="1:9" x14ac:dyDescent="0.25">
      <c r="A1193" t="s">
        <v>256</v>
      </c>
      <c r="B1193" t="s">
        <v>544</v>
      </c>
      <c r="C1193" t="s">
        <v>537</v>
      </c>
      <c r="D1193">
        <v>20251231</v>
      </c>
      <c r="E1193">
        <v>0</v>
      </c>
      <c r="F1193" t="s">
        <v>538</v>
      </c>
      <c r="G1193" t="s">
        <v>539</v>
      </c>
      <c r="H1193" t="s">
        <v>539</v>
      </c>
      <c r="I1193">
        <v>576586000</v>
      </c>
    </row>
    <row r="1194" spans="1:9" x14ac:dyDescent="0.25">
      <c r="A1194" t="s">
        <v>522</v>
      </c>
      <c r="B1194" t="s">
        <v>544</v>
      </c>
      <c r="C1194" t="s">
        <v>537</v>
      </c>
      <c r="D1194">
        <v>20251231</v>
      </c>
      <c r="E1194">
        <v>0</v>
      </c>
      <c r="F1194" t="s">
        <v>538</v>
      </c>
      <c r="G1194" t="s">
        <v>539</v>
      </c>
      <c r="H1194" t="s">
        <v>539</v>
      </c>
      <c r="I1194">
        <v>1948165000</v>
      </c>
    </row>
    <row r="1195" spans="1:9" x14ac:dyDescent="0.25">
      <c r="A1195" t="s">
        <v>232</v>
      </c>
      <c r="B1195" t="s">
        <v>542</v>
      </c>
      <c r="C1195" t="s">
        <v>537</v>
      </c>
      <c r="D1195">
        <v>20251231</v>
      </c>
      <c r="E1195">
        <v>4</v>
      </c>
      <c r="F1195" t="s">
        <v>538</v>
      </c>
      <c r="G1195" t="s">
        <v>539</v>
      </c>
      <c r="H1195" t="s">
        <v>539</v>
      </c>
      <c r="I1195">
        <v>1.2</v>
      </c>
    </row>
    <row r="1196" spans="1:9" x14ac:dyDescent="0.25">
      <c r="A1196" t="s">
        <v>234</v>
      </c>
      <c r="B1196" t="s">
        <v>540</v>
      </c>
      <c r="C1196" t="s">
        <v>537</v>
      </c>
      <c r="D1196">
        <v>20251231</v>
      </c>
      <c r="E1196">
        <v>0</v>
      </c>
      <c r="F1196" t="s">
        <v>538</v>
      </c>
      <c r="G1196" t="s">
        <v>539</v>
      </c>
      <c r="H1196" t="s">
        <v>539</v>
      </c>
      <c r="I1196">
        <v>20751978000</v>
      </c>
    </row>
    <row r="1197" spans="1:9" x14ac:dyDescent="0.25">
      <c r="A1197" t="s">
        <v>234</v>
      </c>
      <c r="B1197" t="s">
        <v>544</v>
      </c>
      <c r="C1197" t="s">
        <v>537</v>
      </c>
      <c r="D1197">
        <v>20251231</v>
      </c>
      <c r="E1197">
        <v>0</v>
      </c>
      <c r="F1197" t="s">
        <v>538</v>
      </c>
      <c r="G1197" t="s">
        <v>539</v>
      </c>
      <c r="H1197" t="s">
        <v>539</v>
      </c>
      <c r="I1197">
        <v>3783977000</v>
      </c>
    </row>
    <row r="1198" spans="1:9" x14ac:dyDescent="0.25">
      <c r="A1198" t="s">
        <v>238</v>
      </c>
      <c r="B1198" t="s">
        <v>540</v>
      </c>
      <c r="C1198" t="s">
        <v>537</v>
      </c>
      <c r="D1198">
        <v>20251231</v>
      </c>
      <c r="E1198">
        <v>0</v>
      </c>
      <c r="F1198" t="s">
        <v>538</v>
      </c>
      <c r="G1198" t="s">
        <v>539</v>
      </c>
      <c r="H1198" t="s">
        <v>539</v>
      </c>
      <c r="I1198">
        <v>1702148000</v>
      </c>
    </row>
    <row r="1199" spans="1:9" x14ac:dyDescent="0.25">
      <c r="A1199" t="s">
        <v>240</v>
      </c>
      <c r="B1199" t="s">
        <v>540</v>
      </c>
      <c r="C1199" t="s">
        <v>537</v>
      </c>
      <c r="D1199">
        <v>20251231</v>
      </c>
      <c r="E1199">
        <v>0</v>
      </c>
      <c r="F1199" t="s">
        <v>538</v>
      </c>
      <c r="G1199" t="s">
        <v>539</v>
      </c>
      <c r="H1199" t="s">
        <v>539</v>
      </c>
      <c r="I1199">
        <v>1287558946</v>
      </c>
    </row>
    <row r="1200" spans="1:9" x14ac:dyDescent="0.25">
      <c r="A1200" t="s">
        <v>242</v>
      </c>
      <c r="B1200" t="s">
        <v>541</v>
      </c>
      <c r="C1200" t="s">
        <v>537</v>
      </c>
      <c r="D1200">
        <v>20251231</v>
      </c>
      <c r="E1200">
        <v>4</v>
      </c>
      <c r="F1200" t="s">
        <v>538</v>
      </c>
      <c r="G1200" t="s">
        <v>539</v>
      </c>
      <c r="H1200" t="s">
        <v>539</v>
      </c>
      <c r="I1200">
        <v>67750000</v>
      </c>
    </row>
    <row r="1201" spans="1:9" x14ac:dyDescent="0.25">
      <c r="A1201" t="s">
        <v>266</v>
      </c>
      <c r="B1201" t="s">
        <v>545</v>
      </c>
      <c r="C1201" t="s">
        <v>537</v>
      </c>
      <c r="D1201">
        <v>20251231</v>
      </c>
      <c r="E1201">
        <v>4</v>
      </c>
      <c r="F1201" t="s">
        <v>538</v>
      </c>
      <c r="G1201" t="s">
        <v>539</v>
      </c>
      <c r="H1201" t="s">
        <v>539</v>
      </c>
      <c r="I1201">
        <v>2934000</v>
      </c>
    </row>
    <row r="1202" spans="1:9" x14ac:dyDescent="0.25">
      <c r="A1202" t="s">
        <v>256</v>
      </c>
      <c r="B1202" t="s">
        <v>542</v>
      </c>
      <c r="C1202" t="s">
        <v>537</v>
      </c>
      <c r="D1202">
        <v>20251231</v>
      </c>
      <c r="E1202">
        <v>4</v>
      </c>
      <c r="F1202" t="s">
        <v>538</v>
      </c>
      <c r="G1202" t="s">
        <v>539</v>
      </c>
      <c r="H1202" t="s">
        <v>539</v>
      </c>
      <c r="I1202">
        <v>1.95</v>
      </c>
    </row>
    <row r="1203" spans="1:9" x14ac:dyDescent="0.25">
      <c r="A1203" t="s">
        <v>500</v>
      </c>
      <c r="B1203" t="s">
        <v>542</v>
      </c>
      <c r="C1203" t="s">
        <v>537</v>
      </c>
      <c r="D1203">
        <v>20251231</v>
      </c>
      <c r="E1203">
        <v>4</v>
      </c>
      <c r="F1203" t="s">
        <v>538</v>
      </c>
      <c r="G1203" t="s">
        <v>539</v>
      </c>
      <c r="H1203" t="s">
        <v>539</v>
      </c>
      <c r="I1203">
        <v>2.42</v>
      </c>
    </row>
    <row r="1204" spans="1:9" x14ac:dyDescent="0.25">
      <c r="A1204" t="s">
        <v>146</v>
      </c>
      <c r="B1204" t="s">
        <v>540</v>
      </c>
      <c r="C1204" t="s">
        <v>537</v>
      </c>
      <c r="D1204">
        <v>20251231</v>
      </c>
      <c r="E1204">
        <v>0</v>
      </c>
      <c r="F1204" t="s">
        <v>538</v>
      </c>
      <c r="G1204" t="s">
        <v>539</v>
      </c>
      <c r="H1204" t="s">
        <v>539</v>
      </c>
      <c r="I1204">
        <v>1426636000</v>
      </c>
    </row>
    <row r="1205" spans="1:9" x14ac:dyDescent="0.25">
      <c r="A1205" t="s">
        <v>522</v>
      </c>
      <c r="B1205" t="s">
        <v>536</v>
      </c>
      <c r="C1205" t="s">
        <v>537</v>
      </c>
      <c r="D1205">
        <v>20251231</v>
      </c>
      <c r="E1205">
        <v>0</v>
      </c>
      <c r="F1205" t="s">
        <v>538</v>
      </c>
      <c r="G1205" t="s">
        <v>539</v>
      </c>
      <c r="H1205" t="s">
        <v>539</v>
      </c>
      <c r="I1205">
        <v>14352034000</v>
      </c>
    </row>
    <row r="1206" spans="1:9" x14ac:dyDescent="0.25">
      <c r="A1206" t="s">
        <v>246</v>
      </c>
      <c r="B1206" t="s">
        <v>543</v>
      </c>
      <c r="C1206" t="s">
        <v>537</v>
      </c>
      <c r="D1206">
        <v>20251231</v>
      </c>
      <c r="E1206">
        <v>4</v>
      </c>
      <c r="F1206" t="s">
        <v>538</v>
      </c>
      <c r="G1206" t="s">
        <v>539</v>
      </c>
      <c r="H1206" t="s">
        <v>539</v>
      </c>
      <c r="I1206">
        <v>97936000</v>
      </c>
    </row>
    <row r="1207" spans="1:9" x14ac:dyDescent="0.25">
      <c r="A1207" t="s">
        <v>238</v>
      </c>
      <c r="B1207" t="s">
        <v>536</v>
      </c>
      <c r="C1207" t="s">
        <v>537</v>
      </c>
      <c r="D1207">
        <v>20251231</v>
      </c>
      <c r="E1207">
        <v>0</v>
      </c>
      <c r="F1207" t="s">
        <v>538</v>
      </c>
      <c r="G1207" t="s">
        <v>539</v>
      </c>
      <c r="H1207" t="s">
        <v>539</v>
      </c>
      <c r="I1207">
        <v>1545030000</v>
      </c>
    </row>
    <row r="1208" spans="1:9" x14ac:dyDescent="0.25">
      <c r="A1208" t="s">
        <v>242</v>
      </c>
      <c r="B1208" t="s">
        <v>540</v>
      </c>
      <c r="C1208" t="s">
        <v>537</v>
      </c>
      <c r="D1208">
        <v>20251231</v>
      </c>
      <c r="E1208">
        <v>0</v>
      </c>
      <c r="F1208" t="s">
        <v>538</v>
      </c>
      <c r="G1208" t="s">
        <v>539</v>
      </c>
      <c r="H1208" t="s">
        <v>539</v>
      </c>
      <c r="I1208">
        <v>1373757000</v>
      </c>
    </row>
    <row r="1209" spans="1:9" x14ac:dyDescent="0.25">
      <c r="A1209" t="s">
        <v>250</v>
      </c>
      <c r="B1209" t="s">
        <v>536</v>
      </c>
      <c r="C1209" t="s">
        <v>546</v>
      </c>
      <c r="D1209">
        <v>20251231</v>
      </c>
      <c r="E1209">
        <v>0</v>
      </c>
      <c r="F1209" t="s">
        <v>538</v>
      </c>
      <c r="G1209" t="s">
        <v>539</v>
      </c>
      <c r="H1209" t="s">
        <v>539</v>
      </c>
      <c r="I1209">
        <v>2255123000</v>
      </c>
    </row>
    <row r="1210" spans="1:9" x14ac:dyDescent="0.25">
      <c r="A1210" t="s">
        <v>260</v>
      </c>
      <c r="B1210" t="s">
        <v>540</v>
      </c>
      <c r="C1210" t="s">
        <v>537</v>
      </c>
      <c r="D1210">
        <v>20251231</v>
      </c>
      <c r="E1210">
        <v>0</v>
      </c>
      <c r="F1210" t="s">
        <v>538</v>
      </c>
      <c r="G1210" t="s">
        <v>539</v>
      </c>
      <c r="H1210" t="s">
        <v>539</v>
      </c>
      <c r="I1210">
        <v>4851922000</v>
      </c>
    </row>
    <row r="1211" spans="1:9" x14ac:dyDescent="0.25">
      <c r="A1211" t="s">
        <v>472</v>
      </c>
      <c r="B1211" t="s">
        <v>540</v>
      </c>
      <c r="C1211" t="s">
        <v>537</v>
      </c>
      <c r="D1211">
        <v>20251231</v>
      </c>
      <c r="E1211">
        <v>0</v>
      </c>
      <c r="F1211" t="s">
        <v>538</v>
      </c>
      <c r="G1211" t="s">
        <v>539</v>
      </c>
      <c r="H1211" t="s">
        <v>539</v>
      </c>
      <c r="I1211">
        <v>4403494000</v>
      </c>
    </row>
    <row r="1212" spans="1:9" x14ac:dyDescent="0.25">
      <c r="A1212" t="s">
        <v>258</v>
      </c>
      <c r="B1212" t="s">
        <v>542</v>
      </c>
      <c r="C1212" t="s">
        <v>537</v>
      </c>
      <c r="D1212">
        <v>20251231</v>
      </c>
      <c r="E1212">
        <v>4</v>
      </c>
      <c r="F1212" t="s">
        <v>538</v>
      </c>
      <c r="G1212" t="s">
        <v>539</v>
      </c>
      <c r="H1212" t="s">
        <v>539</v>
      </c>
      <c r="I1212">
        <v>3.44</v>
      </c>
    </row>
    <row r="1213" spans="1:9" x14ac:dyDescent="0.25">
      <c r="A1213" t="s">
        <v>262</v>
      </c>
      <c r="B1213" t="s">
        <v>540</v>
      </c>
      <c r="C1213" t="s">
        <v>537</v>
      </c>
      <c r="D1213">
        <v>20251231</v>
      </c>
      <c r="E1213">
        <v>0</v>
      </c>
      <c r="F1213" t="s">
        <v>538</v>
      </c>
      <c r="G1213" t="s">
        <v>539</v>
      </c>
      <c r="H1213" t="s">
        <v>539</v>
      </c>
      <c r="I1213">
        <v>977135000</v>
      </c>
    </row>
    <row r="1214" spans="1:9" x14ac:dyDescent="0.25">
      <c r="A1214" t="s">
        <v>252</v>
      </c>
      <c r="B1214" t="s">
        <v>544</v>
      </c>
      <c r="C1214" t="s">
        <v>537</v>
      </c>
      <c r="D1214">
        <v>20251231</v>
      </c>
      <c r="E1214">
        <v>0</v>
      </c>
      <c r="F1214" t="s">
        <v>538</v>
      </c>
      <c r="G1214" t="s">
        <v>539</v>
      </c>
      <c r="H1214" t="s">
        <v>539</v>
      </c>
      <c r="I1214">
        <v>544184000</v>
      </c>
    </row>
    <row r="1215" spans="1:9" x14ac:dyDescent="0.25">
      <c r="A1215" t="s">
        <v>216</v>
      </c>
      <c r="B1215" t="s">
        <v>536</v>
      </c>
      <c r="C1215" t="s">
        <v>537</v>
      </c>
      <c r="D1215">
        <v>20251231</v>
      </c>
      <c r="E1215">
        <v>0</v>
      </c>
      <c r="F1215" t="s">
        <v>538</v>
      </c>
      <c r="G1215" t="s">
        <v>539</v>
      </c>
      <c r="H1215" t="s">
        <v>539</v>
      </c>
      <c r="I1215">
        <v>1390156000</v>
      </c>
    </row>
    <row r="1216" spans="1:9" x14ac:dyDescent="0.25">
      <c r="A1216" t="s">
        <v>216</v>
      </c>
      <c r="B1216" t="s">
        <v>544</v>
      </c>
      <c r="C1216" t="s">
        <v>537</v>
      </c>
      <c r="D1216">
        <v>20251231</v>
      </c>
      <c r="E1216">
        <v>0</v>
      </c>
      <c r="F1216" t="s">
        <v>538</v>
      </c>
      <c r="G1216" t="s">
        <v>539</v>
      </c>
      <c r="H1216" t="s">
        <v>539</v>
      </c>
      <c r="I1216">
        <v>157537000</v>
      </c>
    </row>
    <row r="1217" spans="1:9" x14ac:dyDescent="0.25">
      <c r="A1217" t="s">
        <v>248</v>
      </c>
      <c r="B1217" t="s">
        <v>543</v>
      </c>
      <c r="C1217" t="s">
        <v>537</v>
      </c>
      <c r="D1217">
        <v>20251231</v>
      </c>
      <c r="E1217">
        <v>4</v>
      </c>
      <c r="F1217" t="s">
        <v>538</v>
      </c>
      <c r="G1217" t="s">
        <v>539</v>
      </c>
      <c r="H1217" t="s">
        <v>539</v>
      </c>
      <c r="I1217">
        <v>25635000</v>
      </c>
    </row>
    <row r="1218" spans="1:9" x14ac:dyDescent="0.25">
      <c r="A1218" t="s">
        <v>262</v>
      </c>
      <c r="B1218" t="s">
        <v>541</v>
      </c>
      <c r="C1218" t="s">
        <v>537</v>
      </c>
      <c r="D1218">
        <v>20251231</v>
      </c>
      <c r="E1218">
        <v>4</v>
      </c>
      <c r="F1218" t="s">
        <v>538</v>
      </c>
      <c r="G1218" t="s">
        <v>539</v>
      </c>
      <c r="H1218" t="s">
        <v>539</v>
      </c>
      <c r="I1218">
        <v>92478000</v>
      </c>
    </row>
    <row r="1219" spans="1:9" x14ac:dyDescent="0.25">
      <c r="A1219" t="s">
        <v>524</v>
      </c>
      <c r="B1219" t="s">
        <v>540</v>
      </c>
      <c r="C1219" t="s">
        <v>537</v>
      </c>
      <c r="D1219">
        <v>20251231</v>
      </c>
      <c r="E1219">
        <v>0</v>
      </c>
      <c r="F1219" t="s">
        <v>538</v>
      </c>
      <c r="G1219" t="s">
        <v>539</v>
      </c>
      <c r="H1219" t="s">
        <v>539</v>
      </c>
      <c r="I1219">
        <v>9777018000</v>
      </c>
    </row>
    <row r="1220" spans="1:9" x14ac:dyDescent="0.25">
      <c r="A1220" t="s">
        <v>252</v>
      </c>
      <c r="B1220" t="s">
        <v>542</v>
      </c>
      <c r="C1220" t="s">
        <v>537</v>
      </c>
      <c r="D1220">
        <v>20251231</v>
      </c>
      <c r="E1220">
        <v>4</v>
      </c>
      <c r="F1220" t="s">
        <v>538</v>
      </c>
      <c r="G1220" t="s">
        <v>539</v>
      </c>
      <c r="H1220" t="s">
        <v>539</v>
      </c>
      <c r="I1220">
        <v>2.66</v>
      </c>
    </row>
    <row r="1221" spans="1:9" x14ac:dyDescent="0.25">
      <c r="A1221" t="s">
        <v>256</v>
      </c>
      <c r="B1221" t="s">
        <v>541</v>
      </c>
      <c r="C1221" t="s">
        <v>537</v>
      </c>
      <c r="D1221">
        <v>20251231</v>
      </c>
      <c r="E1221">
        <v>4</v>
      </c>
      <c r="F1221" t="s">
        <v>538</v>
      </c>
      <c r="G1221" t="s">
        <v>539</v>
      </c>
      <c r="H1221" t="s">
        <v>539</v>
      </c>
      <c r="I1221">
        <v>225980000</v>
      </c>
    </row>
    <row r="1222" spans="1:9" x14ac:dyDescent="0.25">
      <c r="A1222" t="s">
        <v>254</v>
      </c>
      <c r="B1222" t="s">
        <v>540</v>
      </c>
      <c r="C1222" t="s">
        <v>537</v>
      </c>
      <c r="D1222">
        <v>20251231</v>
      </c>
      <c r="E1222">
        <v>0</v>
      </c>
      <c r="F1222" t="s">
        <v>538</v>
      </c>
      <c r="G1222" t="s">
        <v>539</v>
      </c>
      <c r="H1222" t="s">
        <v>539</v>
      </c>
      <c r="I1222">
        <v>2561995000</v>
      </c>
    </row>
    <row r="1223" spans="1:9" x14ac:dyDescent="0.25">
      <c r="A1223" t="s">
        <v>268</v>
      </c>
      <c r="B1223" t="s">
        <v>540</v>
      </c>
      <c r="C1223" t="s">
        <v>537</v>
      </c>
      <c r="D1223">
        <v>20251231</v>
      </c>
      <c r="E1223">
        <v>0</v>
      </c>
      <c r="F1223" t="s">
        <v>538</v>
      </c>
      <c r="G1223" t="s">
        <v>539</v>
      </c>
      <c r="H1223" t="s">
        <v>539</v>
      </c>
      <c r="I1223">
        <v>909700000</v>
      </c>
    </row>
    <row r="1224" spans="1:9" x14ac:dyDescent="0.25">
      <c r="A1224" t="s">
        <v>148</v>
      </c>
      <c r="B1224" t="s">
        <v>540</v>
      </c>
      <c r="C1224" t="s">
        <v>537</v>
      </c>
      <c r="D1224">
        <v>20251231</v>
      </c>
      <c r="E1224">
        <v>0</v>
      </c>
      <c r="F1224" t="s">
        <v>538</v>
      </c>
      <c r="G1224" t="s">
        <v>539</v>
      </c>
      <c r="H1224" t="s">
        <v>539</v>
      </c>
      <c r="I1224">
        <v>1545367000</v>
      </c>
    </row>
    <row r="1225" spans="1:9" x14ac:dyDescent="0.25">
      <c r="A1225" t="s">
        <v>252</v>
      </c>
      <c r="B1225" t="s">
        <v>536</v>
      </c>
      <c r="C1225" t="s">
        <v>537</v>
      </c>
      <c r="D1225">
        <v>20251231</v>
      </c>
      <c r="E1225">
        <v>0</v>
      </c>
      <c r="F1225" t="s">
        <v>538</v>
      </c>
      <c r="G1225" t="s">
        <v>539</v>
      </c>
      <c r="H1225" t="s">
        <v>539</v>
      </c>
      <c r="I1225">
        <v>4224216000</v>
      </c>
    </row>
    <row r="1226" spans="1:9" x14ac:dyDescent="0.25">
      <c r="A1226" t="s">
        <v>256</v>
      </c>
      <c r="B1226" t="s">
        <v>543</v>
      </c>
      <c r="C1226" t="s">
        <v>537</v>
      </c>
      <c r="D1226">
        <v>20251231</v>
      </c>
      <c r="E1226">
        <v>4</v>
      </c>
      <c r="F1226" t="s">
        <v>538</v>
      </c>
      <c r="G1226" t="s">
        <v>539</v>
      </c>
      <c r="H1226" t="s">
        <v>539</v>
      </c>
      <c r="I1226">
        <v>63058000</v>
      </c>
    </row>
    <row r="1227" spans="1:9" x14ac:dyDescent="0.25">
      <c r="A1227" t="s">
        <v>258</v>
      </c>
      <c r="B1227" t="s">
        <v>540</v>
      </c>
      <c r="C1227" t="s">
        <v>537</v>
      </c>
      <c r="D1227">
        <v>20251231</v>
      </c>
      <c r="E1227">
        <v>0</v>
      </c>
      <c r="F1227" t="s">
        <v>538</v>
      </c>
      <c r="G1227" t="s">
        <v>539</v>
      </c>
      <c r="H1227" t="s">
        <v>539</v>
      </c>
      <c r="I1227">
        <v>8869836000</v>
      </c>
    </row>
    <row r="1228" spans="1:9" x14ac:dyDescent="0.25">
      <c r="A1228" t="s">
        <v>268</v>
      </c>
      <c r="B1228" t="s">
        <v>544</v>
      </c>
      <c r="C1228" t="s">
        <v>537</v>
      </c>
      <c r="D1228">
        <v>20251231</v>
      </c>
      <c r="E1228">
        <v>0</v>
      </c>
      <c r="F1228" t="s">
        <v>538</v>
      </c>
      <c r="G1228" t="s">
        <v>539</v>
      </c>
      <c r="H1228" t="s">
        <v>539</v>
      </c>
      <c r="I1228">
        <v>82855000</v>
      </c>
    </row>
    <row r="1229" spans="1:9" x14ac:dyDescent="0.25">
      <c r="A1229" t="s">
        <v>510</v>
      </c>
      <c r="B1229" t="s">
        <v>541</v>
      </c>
      <c r="C1229" t="s">
        <v>537</v>
      </c>
      <c r="D1229">
        <v>20251231</v>
      </c>
      <c r="E1229">
        <v>4</v>
      </c>
      <c r="F1229" t="s">
        <v>538</v>
      </c>
      <c r="G1229" t="s">
        <v>539</v>
      </c>
      <c r="H1229" t="s">
        <v>539</v>
      </c>
      <c r="I1229">
        <v>8386000000</v>
      </c>
    </row>
    <row r="1230" spans="1:9" x14ac:dyDescent="0.25">
      <c r="A1230" t="s">
        <v>510</v>
      </c>
      <c r="B1230" t="s">
        <v>543</v>
      </c>
      <c r="C1230" t="s">
        <v>537</v>
      </c>
      <c r="D1230">
        <v>20251231</v>
      </c>
      <c r="E1230">
        <v>4</v>
      </c>
      <c r="F1230" t="s">
        <v>538</v>
      </c>
      <c r="G1230" t="s">
        <v>539</v>
      </c>
      <c r="H1230" t="s">
        <v>539</v>
      </c>
      <c r="I1230">
        <v>1829000000</v>
      </c>
    </row>
    <row r="1231" spans="1:9" x14ac:dyDescent="0.25">
      <c r="A1231" t="s">
        <v>260</v>
      </c>
      <c r="B1231" t="s">
        <v>536</v>
      </c>
      <c r="C1231" t="s">
        <v>537</v>
      </c>
      <c r="D1231">
        <v>20251231</v>
      </c>
      <c r="E1231">
        <v>0</v>
      </c>
      <c r="F1231" t="s">
        <v>538</v>
      </c>
      <c r="G1231" t="s">
        <v>539</v>
      </c>
      <c r="H1231" t="s">
        <v>539</v>
      </c>
      <c r="I1231">
        <v>4432225000</v>
      </c>
    </row>
    <row r="1232" spans="1:9" x14ac:dyDescent="0.25">
      <c r="A1232" t="s">
        <v>262</v>
      </c>
      <c r="B1232" t="s">
        <v>544</v>
      </c>
      <c r="C1232" t="s">
        <v>537</v>
      </c>
      <c r="D1232">
        <v>20251231</v>
      </c>
      <c r="E1232">
        <v>0</v>
      </c>
      <c r="F1232" t="s">
        <v>538</v>
      </c>
      <c r="G1232" t="s">
        <v>539</v>
      </c>
      <c r="H1232" t="s">
        <v>539</v>
      </c>
      <c r="I1232">
        <v>193195000</v>
      </c>
    </row>
    <row r="1233" spans="1:9" x14ac:dyDescent="0.25">
      <c r="A1233" t="s">
        <v>474</v>
      </c>
      <c r="B1233" t="s">
        <v>543</v>
      </c>
      <c r="C1233" t="s">
        <v>537</v>
      </c>
      <c r="D1233">
        <v>20251231</v>
      </c>
      <c r="E1233">
        <v>4</v>
      </c>
      <c r="F1233" t="s">
        <v>538</v>
      </c>
      <c r="G1233" t="s">
        <v>539</v>
      </c>
      <c r="H1233" t="s">
        <v>539</v>
      </c>
      <c r="I1233">
        <v>2156000000</v>
      </c>
    </row>
    <row r="1234" spans="1:9" x14ac:dyDescent="0.25">
      <c r="A1234" t="s">
        <v>258</v>
      </c>
      <c r="B1234" t="s">
        <v>541</v>
      </c>
      <c r="C1234" t="s">
        <v>537</v>
      </c>
      <c r="D1234">
        <v>20251231</v>
      </c>
      <c r="E1234">
        <v>4</v>
      </c>
      <c r="F1234" t="s">
        <v>538</v>
      </c>
      <c r="G1234" t="s">
        <v>539</v>
      </c>
      <c r="H1234" t="s">
        <v>539</v>
      </c>
      <c r="I1234">
        <v>422229000</v>
      </c>
    </row>
    <row r="1235" spans="1:9" x14ac:dyDescent="0.25">
      <c r="A1235" t="s">
        <v>258</v>
      </c>
      <c r="B1235" t="s">
        <v>543</v>
      </c>
      <c r="C1235" t="s">
        <v>537</v>
      </c>
      <c r="D1235">
        <v>20251231</v>
      </c>
      <c r="E1235">
        <v>4</v>
      </c>
      <c r="F1235" t="s">
        <v>538</v>
      </c>
      <c r="G1235" t="s">
        <v>539</v>
      </c>
      <c r="H1235" t="s">
        <v>539</v>
      </c>
      <c r="I1235">
        <v>104447000</v>
      </c>
    </row>
    <row r="1236" spans="1:9" x14ac:dyDescent="0.25">
      <c r="A1236" t="s">
        <v>526</v>
      </c>
      <c r="B1236" t="s">
        <v>545</v>
      </c>
      <c r="C1236" t="s">
        <v>537</v>
      </c>
      <c r="D1236">
        <v>20251231</v>
      </c>
      <c r="E1236">
        <v>4</v>
      </c>
      <c r="F1236" t="s">
        <v>538</v>
      </c>
      <c r="G1236" t="s">
        <v>539</v>
      </c>
      <c r="H1236" t="s">
        <v>539</v>
      </c>
      <c r="I1236">
        <v>444993000</v>
      </c>
    </row>
    <row r="1237" spans="1:9" x14ac:dyDescent="0.25">
      <c r="A1237" t="s">
        <v>516</v>
      </c>
      <c r="B1237" t="s">
        <v>541</v>
      </c>
      <c r="C1237" t="s">
        <v>537</v>
      </c>
      <c r="D1237">
        <v>20251231</v>
      </c>
      <c r="E1237">
        <v>4</v>
      </c>
      <c r="F1237" t="s">
        <v>538</v>
      </c>
      <c r="G1237" t="s">
        <v>539</v>
      </c>
      <c r="H1237" t="s">
        <v>539</v>
      </c>
      <c r="I1237">
        <v>836374000</v>
      </c>
    </row>
    <row r="1238" spans="1:9" x14ac:dyDescent="0.25">
      <c r="A1238" t="s">
        <v>516</v>
      </c>
      <c r="B1238" t="s">
        <v>544</v>
      </c>
      <c r="C1238" t="s">
        <v>537</v>
      </c>
      <c r="D1238">
        <v>20251231</v>
      </c>
      <c r="E1238">
        <v>0</v>
      </c>
      <c r="F1238" t="s">
        <v>538</v>
      </c>
      <c r="G1238" t="s">
        <v>539</v>
      </c>
      <c r="H1238" t="s">
        <v>539</v>
      </c>
      <c r="I1238">
        <v>2712662000</v>
      </c>
    </row>
    <row r="1239" spans="1:9" x14ac:dyDescent="0.25">
      <c r="A1239" t="s">
        <v>264</v>
      </c>
      <c r="B1239" t="s">
        <v>536</v>
      </c>
      <c r="C1239" t="s">
        <v>537</v>
      </c>
      <c r="D1239">
        <v>20251231</v>
      </c>
      <c r="E1239">
        <v>0</v>
      </c>
      <c r="F1239" t="s">
        <v>538</v>
      </c>
      <c r="G1239" t="s">
        <v>539</v>
      </c>
      <c r="H1239" t="s">
        <v>539</v>
      </c>
      <c r="I1239">
        <v>50662338000</v>
      </c>
    </row>
    <row r="1240" spans="1:9" x14ac:dyDescent="0.25">
      <c r="A1240" t="s">
        <v>520</v>
      </c>
      <c r="B1240" t="s">
        <v>540</v>
      </c>
      <c r="C1240" t="s">
        <v>537</v>
      </c>
      <c r="D1240">
        <v>20251231</v>
      </c>
      <c r="E1240">
        <v>0</v>
      </c>
      <c r="F1240" t="s">
        <v>538</v>
      </c>
      <c r="G1240" t="s">
        <v>539</v>
      </c>
      <c r="H1240" t="s">
        <v>539</v>
      </c>
      <c r="I1240">
        <v>34797442000</v>
      </c>
    </row>
    <row r="1241" spans="1:9" x14ac:dyDescent="0.25">
      <c r="A1241" t="s">
        <v>260</v>
      </c>
      <c r="B1241" t="s">
        <v>542</v>
      </c>
      <c r="C1241" t="s">
        <v>537</v>
      </c>
      <c r="D1241">
        <v>20251231</v>
      </c>
      <c r="E1241">
        <v>4</v>
      </c>
      <c r="F1241" t="s">
        <v>538</v>
      </c>
      <c r="G1241" t="s">
        <v>539</v>
      </c>
      <c r="H1241" t="s">
        <v>539</v>
      </c>
      <c r="I1241">
        <v>1.38</v>
      </c>
    </row>
    <row r="1242" spans="1:9" x14ac:dyDescent="0.25">
      <c r="A1242" t="s">
        <v>260</v>
      </c>
      <c r="B1242" t="s">
        <v>543</v>
      </c>
      <c r="C1242" t="s">
        <v>537</v>
      </c>
      <c r="D1242">
        <v>20251231</v>
      </c>
      <c r="E1242">
        <v>4</v>
      </c>
      <c r="F1242" t="s">
        <v>538</v>
      </c>
      <c r="G1242" t="s">
        <v>539</v>
      </c>
      <c r="H1242" t="s">
        <v>539</v>
      </c>
      <c r="I1242">
        <v>31362000</v>
      </c>
    </row>
    <row r="1243" spans="1:9" x14ac:dyDescent="0.25">
      <c r="A1243" t="s">
        <v>268</v>
      </c>
      <c r="B1243" t="s">
        <v>536</v>
      </c>
      <c r="C1243" t="s">
        <v>537</v>
      </c>
      <c r="D1243">
        <v>20251231</v>
      </c>
      <c r="E1243">
        <v>0</v>
      </c>
      <c r="F1243" t="s">
        <v>538</v>
      </c>
      <c r="G1243" t="s">
        <v>539</v>
      </c>
      <c r="H1243" t="s">
        <v>539</v>
      </c>
      <c r="I1243">
        <v>826845000</v>
      </c>
    </row>
    <row r="1244" spans="1:9" x14ac:dyDescent="0.25">
      <c r="A1244" t="s">
        <v>224</v>
      </c>
      <c r="B1244" t="s">
        <v>540</v>
      </c>
      <c r="C1244" t="s">
        <v>537</v>
      </c>
      <c r="D1244">
        <v>20251231</v>
      </c>
      <c r="E1244">
        <v>0</v>
      </c>
      <c r="F1244" t="s">
        <v>538</v>
      </c>
      <c r="G1244" t="s">
        <v>539</v>
      </c>
      <c r="H1244" t="s">
        <v>539</v>
      </c>
      <c r="I1244">
        <v>3228126000</v>
      </c>
    </row>
    <row r="1245" spans="1:9" x14ac:dyDescent="0.25">
      <c r="A1245" t="s">
        <v>262</v>
      </c>
      <c r="B1245" t="s">
        <v>542</v>
      </c>
      <c r="C1245" t="s">
        <v>537</v>
      </c>
      <c r="D1245">
        <v>20251231</v>
      </c>
      <c r="E1245">
        <v>4</v>
      </c>
      <c r="F1245" t="s">
        <v>538</v>
      </c>
      <c r="G1245" t="s">
        <v>539</v>
      </c>
      <c r="H1245" t="s">
        <v>539</v>
      </c>
      <c r="I1245">
        <v>1.2</v>
      </c>
    </row>
    <row r="1246" spans="1:9" x14ac:dyDescent="0.25">
      <c r="A1246" t="s">
        <v>230</v>
      </c>
      <c r="B1246" t="s">
        <v>536</v>
      </c>
      <c r="C1246" t="s">
        <v>537</v>
      </c>
      <c r="D1246">
        <v>20251231</v>
      </c>
      <c r="E1246">
        <v>0</v>
      </c>
      <c r="F1246" t="s">
        <v>538</v>
      </c>
      <c r="G1246" t="s">
        <v>539</v>
      </c>
      <c r="H1246" t="s">
        <v>539</v>
      </c>
      <c r="I1246">
        <v>1581180000</v>
      </c>
    </row>
    <row r="1247" spans="1:9" x14ac:dyDescent="0.25">
      <c r="A1247" t="s">
        <v>234</v>
      </c>
      <c r="B1247" t="s">
        <v>536</v>
      </c>
      <c r="C1247" t="s">
        <v>537</v>
      </c>
      <c r="D1247">
        <v>20251231</v>
      </c>
      <c r="E1247">
        <v>0</v>
      </c>
      <c r="F1247" t="s">
        <v>538</v>
      </c>
      <c r="G1247" t="s">
        <v>539</v>
      </c>
      <c r="H1247" t="s">
        <v>539</v>
      </c>
      <c r="I1247">
        <v>16968001000</v>
      </c>
    </row>
    <row r="1248" spans="1:9" x14ac:dyDescent="0.25">
      <c r="A1248" t="s">
        <v>266</v>
      </c>
      <c r="B1248" t="s">
        <v>540</v>
      </c>
      <c r="C1248" t="s">
        <v>537</v>
      </c>
      <c r="D1248">
        <v>20251231</v>
      </c>
      <c r="E1248">
        <v>0</v>
      </c>
      <c r="F1248" t="s">
        <v>538</v>
      </c>
      <c r="G1248" t="s">
        <v>539</v>
      </c>
      <c r="H1248" t="s">
        <v>539</v>
      </c>
      <c r="I1248">
        <v>1087840000</v>
      </c>
    </row>
    <row r="1249" spans="1:9" x14ac:dyDescent="0.25">
      <c r="A1249" t="s">
        <v>266</v>
      </c>
      <c r="B1249" t="s">
        <v>541</v>
      </c>
      <c r="C1249" t="s">
        <v>537</v>
      </c>
      <c r="D1249">
        <v>20251231</v>
      </c>
      <c r="E1249">
        <v>4</v>
      </c>
      <c r="F1249" t="s">
        <v>538</v>
      </c>
      <c r="G1249" t="s">
        <v>539</v>
      </c>
      <c r="H1249" t="s">
        <v>539</v>
      </c>
      <c r="I1249">
        <v>47843000</v>
      </c>
    </row>
    <row r="1250" spans="1:9" x14ac:dyDescent="0.25">
      <c r="A1250" t="s">
        <v>266</v>
      </c>
      <c r="B1250" t="s">
        <v>543</v>
      </c>
      <c r="C1250" t="s">
        <v>537</v>
      </c>
      <c r="D1250">
        <v>20251231</v>
      </c>
      <c r="E1250">
        <v>4</v>
      </c>
      <c r="F1250" t="s">
        <v>538</v>
      </c>
      <c r="G1250" t="s">
        <v>539</v>
      </c>
      <c r="H1250" t="s">
        <v>539</v>
      </c>
      <c r="I1250">
        <v>-12710000</v>
      </c>
    </row>
    <row r="1251" spans="1:9" x14ac:dyDescent="0.25">
      <c r="A1251" t="s">
        <v>526</v>
      </c>
      <c r="B1251" t="s">
        <v>540</v>
      </c>
      <c r="C1251" t="s">
        <v>537</v>
      </c>
      <c r="D1251">
        <v>20251231</v>
      </c>
      <c r="E1251">
        <v>0</v>
      </c>
      <c r="F1251" t="s">
        <v>538</v>
      </c>
      <c r="G1251" t="s">
        <v>539</v>
      </c>
      <c r="H1251" t="s">
        <v>539</v>
      </c>
      <c r="I1251">
        <v>7920626000</v>
      </c>
    </row>
    <row r="1252" spans="1:9" x14ac:dyDescent="0.25">
      <c r="A1252" t="s">
        <v>268</v>
      </c>
      <c r="B1252" t="s">
        <v>543</v>
      </c>
      <c r="C1252" t="s">
        <v>537</v>
      </c>
      <c r="D1252">
        <v>20251231</v>
      </c>
      <c r="E1252">
        <v>4</v>
      </c>
      <c r="F1252" t="s">
        <v>538</v>
      </c>
      <c r="G1252" t="s">
        <v>539</v>
      </c>
      <c r="H1252" t="s">
        <v>539</v>
      </c>
      <c r="I1252">
        <v>10098000</v>
      </c>
    </row>
    <row r="1253" spans="1:9" x14ac:dyDescent="0.25">
      <c r="A1253" t="s">
        <v>236</v>
      </c>
      <c r="B1253" t="s">
        <v>540</v>
      </c>
      <c r="C1253" t="s">
        <v>537</v>
      </c>
      <c r="D1253">
        <v>20251231</v>
      </c>
      <c r="E1253">
        <v>0</v>
      </c>
      <c r="F1253" t="s">
        <v>538</v>
      </c>
      <c r="G1253" t="s">
        <v>539</v>
      </c>
      <c r="H1253" t="s">
        <v>539</v>
      </c>
      <c r="I1253">
        <v>1300258000</v>
      </c>
    </row>
    <row r="1254" spans="1:9" x14ac:dyDescent="0.25">
      <c r="A1254" t="s">
        <v>268</v>
      </c>
      <c r="B1254" t="s">
        <v>542</v>
      </c>
      <c r="C1254" t="s">
        <v>537</v>
      </c>
      <c r="D1254">
        <v>20251231</v>
      </c>
      <c r="E1254">
        <v>4</v>
      </c>
      <c r="F1254" t="s">
        <v>538</v>
      </c>
      <c r="G1254" t="s">
        <v>539</v>
      </c>
      <c r="H1254" t="s">
        <v>539</v>
      </c>
      <c r="I1254">
        <v>0.43</v>
      </c>
    </row>
    <row r="1255" spans="1:9" x14ac:dyDescent="0.25">
      <c r="A1255" t="s">
        <v>160</v>
      </c>
      <c r="B1255" t="s">
        <v>536</v>
      </c>
      <c r="C1255" t="s">
        <v>537</v>
      </c>
      <c r="D1255">
        <v>20251231</v>
      </c>
      <c r="E1255">
        <v>0</v>
      </c>
      <c r="F1255" t="s">
        <v>538</v>
      </c>
      <c r="G1255" t="s">
        <v>539</v>
      </c>
      <c r="H1255" t="s">
        <v>539</v>
      </c>
      <c r="I1255">
        <v>3204450000</v>
      </c>
    </row>
    <row r="1256" spans="1:9" x14ac:dyDescent="0.25">
      <c r="A1256" t="s">
        <v>162</v>
      </c>
      <c r="B1256" t="s">
        <v>536</v>
      </c>
      <c r="C1256" t="s">
        <v>537</v>
      </c>
      <c r="D1256">
        <v>20251231</v>
      </c>
      <c r="E1256">
        <v>0</v>
      </c>
      <c r="F1256" t="s">
        <v>538</v>
      </c>
      <c r="G1256" t="s">
        <v>539</v>
      </c>
      <c r="H1256" t="s">
        <v>539</v>
      </c>
      <c r="I1256">
        <v>2891745000</v>
      </c>
    </row>
    <row r="1257" spans="1:9" x14ac:dyDescent="0.25">
      <c r="A1257" t="s">
        <v>162</v>
      </c>
      <c r="B1257" t="s">
        <v>543</v>
      </c>
      <c r="C1257" t="s">
        <v>537</v>
      </c>
      <c r="D1257">
        <v>20251231</v>
      </c>
      <c r="E1257">
        <v>4</v>
      </c>
      <c r="F1257" t="s">
        <v>538</v>
      </c>
      <c r="G1257" t="s">
        <v>539</v>
      </c>
      <c r="H1257" t="s">
        <v>539</v>
      </c>
      <c r="I1257">
        <v>37453000</v>
      </c>
    </row>
    <row r="1258" spans="1:9" x14ac:dyDescent="0.25">
      <c r="A1258" t="s">
        <v>162</v>
      </c>
      <c r="B1258" t="s">
        <v>544</v>
      </c>
      <c r="C1258" t="s">
        <v>537</v>
      </c>
      <c r="D1258">
        <v>20251231</v>
      </c>
      <c r="E1258">
        <v>0</v>
      </c>
      <c r="F1258" t="s">
        <v>538</v>
      </c>
      <c r="G1258" t="s">
        <v>539</v>
      </c>
      <c r="H1258" t="s">
        <v>539</v>
      </c>
      <c r="I1258">
        <v>390026000</v>
      </c>
    </row>
    <row r="1259" spans="1:9" x14ac:dyDescent="0.25">
      <c r="A1259" t="s">
        <v>238</v>
      </c>
      <c r="B1259" t="s">
        <v>543</v>
      </c>
      <c r="C1259" t="s">
        <v>537</v>
      </c>
      <c r="D1259">
        <v>20251231</v>
      </c>
      <c r="E1259">
        <v>4</v>
      </c>
      <c r="F1259" t="s">
        <v>538</v>
      </c>
      <c r="G1259" t="s">
        <v>539</v>
      </c>
      <c r="H1259" t="s">
        <v>539</v>
      </c>
      <c r="I1259">
        <v>19830000</v>
      </c>
    </row>
    <row r="1260" spans="1:9" x14ac:dyDescent="0.25">
      <c r="A1260" t="s">
        <v>240</v>
      </c>
      <c r="B1260" t="s">
        <v>543</v>
      </c>
      <c r="C1260" t="s">
        <v>537</v>
      </c>
      <c r="D1260">
        <v>20251231</v>
      </c>
      <c r="E1260">
        <v>4</v>
      </c>
      <c r="F1260" t="s">
        <v>538</v>
      </c>
      <c r="G1260" t="s">
        <v>539</v>
      </c>
      <c r="H1260" t="s">
        <v>539</v>
      </c>
      <c r="I1260">
        <v>16967981</v>
      </c>
    </row>
    <row r="1261" spans="1:9" x14ac:dyDescent="0.25">
      <c r="A1261" t="s">
        <v>242</v>
      </c>
      <c r="B1261" t="s">
        <v>536</v>
      </c>
      <c r="C1261" t="s">
        <v>537</v>
      </c>
      <c r="D1261">
        <v>20251231</v>
      </c>
      <c r="E1261">
        <v>0</v>
      </c>
      <c r="F1261" t="s">
        <v>538</v>
      </c>
      <c r="G1261" t="s">
        <v>539</v>
      </c>
      <c r="H1261" t="s">
        <v>539</v>
      </c>
      <c r="I1261">
        <v>1268969000</v>
      </c>
    </row>
    <row r="1262" spans="1:9" x14ac:dyDescent="0.25">
      <c r="A1262" t="s">
        <v>482</v>
      </c>
      <c r="B1262" t="s">
        <v>540</v>
      </c>
      <c r="C1262" t="s">
        <v>537</v>
      </c>
      <c r="D1262">
        <v>20251231</v>
      </c>
      <c r="E1262">
        <v>0</v>
      </c>
      <c r="F1262" t="s">
        <v>538</v>
      </c>
      <c r="G1262" t="s">
        <v>539</v>
      </c>
      <c r="H1262" t="s">
        <v>539</v>
      </c>
      <c r="I1262">
        <v>14002700000</v>
      </c>
    </row>
    <row r="1263" spans="1:9" x14ac:dyDescent="0.25">
      <c r="A1263" t="s">
        <v>482</v>
      </c>
      <c r="B1263" t="s">
        <v>542</v>
      </c>
      <c r="C1263" t="s">
        <v>537</v>
      </c>
      <c r="D1263">
        <v>20251231</v>
      </c>
      <c r="E1263">
        <v>4</v>
      </c>
      <c r="F1263" t="s">
        <v>538</v>
      </c>
      <c r="G1263" t="s">
        <v>539</v>
      </c>
      <c r="H1263" t="s">
        <v>539</v>
      </c>
      <c r="I1263">
        <v>1.64</v>
      </c>
    </row>
    <row r="1264" spans="1:9" x14ac:dyDescent="0.25">
      <c r="A1264" t="s">
        <v>482</v>
      </c>
      <c r="B1264" t="s">
        <v>543</v>
      </c>
      <c r="C1264" t="s">
        <v>537</v>
      </c>
      <c r="D1264">
        <v>20251231</v>
      </c>
      <c r="E1264">
        <v>4</v>
      </c>
      <c r="F1264" t="s">
        <v>538</v>
      </c>
      <c r="G1264" t="s">
        <v>539</v>
      </c>
      <c r="H1264" t="s">
        <v>539</v>
      </c>
      <c r="I1264">
        <v>80443000</v>
      </c>
    </row>
    <row r="1265" spans="1:9" x14ac:dyDescent="0.25">
      <c r="A1265" t="s">
        <v>244</v>
      </c>
      <c r="B1265" t="s">
        <v>540</v>
      </c>
      <c r="C1265" t="s">
        <v>537</v>
      </c>
      <c r="D1265">
        <v>20251231</v>
      </c>
      <c r="E1265">
        <v>0</v>
      </c>
      <c r="F1265" t="s">
        <v>538</v>
      </c>
      <c r="G1265" t="s">
        <v>539</v>
      </c>
      <c r="H1265" t="s">
        <v>539</v>
      </c>
      <c r="I1265">
        <v>2292256000</v>
      </c>
    </row>
    <row r="1266" spans="1:9" x14ac:dyDescent="0.25">
      <c r="A1266" t="s">
        <v>244</v>
      </c>
      <c r="B1266" t="s">
        <v>536</v>
      </c>
      <c r="C1266" t="s">
        <v>537</v>
      </c>
      <c r="D1266">
        <v>20251231</v>
      </c>
      <c r="E1266">
        <v>0</v>
      </c>
      <c r="F1266" t="s">
        <v>538</v>
      </c>
      <c r="G1266" t="s">
        <v>539</v>
      </c>
      <c r="H1266" t="s">
        <v>539</v>
      </c>
      <c r="I1266">
        <v>2038656000</v>
      </c>
    </row>
    <row r="1267" spans="1:9" x14ac:dyDescent="0.25">
      <c r="A1267" t="s">
        <v>244</v>
      </c>
      <c r="B1267" t="s">
        <v>543</v>
      </c>
      <c r="C1267" t="s">
        <v>537</v>
      </c>
      <c r="D1267">
        <v>20251231</v>
      </c>
      <c r="E1267">
        <v>4</v>
      </c>
      <c r="F1267" t="s">
        <v>538</v>
      </c>
      <c r="G1267" t="s">
        <v>539</v>
      </c>
      <c r="H1267" t="s">
        <v>539</v>
      </c>
      <c r="I1267">
        <v>22057000</v>
      </c>
    </row>
    <row r="1268" spans="1:9" x14ac:dyDescent="0.25">
      <c r="A1268" t="s">
        <v>170</v>
      </c>
      <c r="B1268" t="s">
        <v>543</v>
      </c>
      <c r="C1268" t="s">
        <v>537</v>
      </c>
      <c r="D1268">
        <v>20251231</v>
      </c>
      <c r="E1268">
        <v>4</v>
      </c>
      <c r="F1268" t="s">
        <v>538</v>
      </c>
      <c r="G1268" t="s">
        <v>539</v>
      </c>
      <c r="H1268" t="s">
        <v>539</v>
      </c>
      <c r="I1268">
        <v>48794000</v>
      </c>
    </row>
    <row r="1269" spans="1:9" x14ac:dyDescent="0.25">
      <c r="A1269" t="s">
        <v>172</v>
      </c>
      <c r="B1269" t="s">
        <v>541</v>
      </c>
      <c r="C1269" t="s">
        <v>537</v>
      </c>
      <c r="D1269">
        <v>20251231</v>
      </c>
      <c r="E1269">
        <v>4</v>
      </c>
      <c r="F1269" t="s">
        <v>538</v>
      </c>
      <c r="G1269" t="s">
        <v>539</v>
      </c>
      <c r="H1269" t="s">
        <v>539</v>
      </c>
      <c r="I1269">
        <v>108411000</v>
      </c>
    </row>
    <row r="1270" spans="1:9" x14ac:dyDescent="0.25">
      <c r="A1270" t="s">
        <v>174</v>
      </c>
      <c r="B1270" t="s">
        <v>536</v>
      </c>
      <c r="C1270" t="s">
        <v>537</v>
      </c>
      <c r="D1270">
        <v>20251231</v>
      </c>
      <c r="E1270">
        <v>0</v>
      </c>
      <c r="F1270" t="s">
        <v>538</v>
      </c>
      <c r="G1270" t="s">
        <v>539</v>
      </c>
      <c r="H1270" t="s">
        <v>539</v>
      </c>
      <c r="I1270">
        <v>3684884000</v>
      </c>
    </row>
    <row r="1271" spans="1:9" x14ac:dyDescent="0.25">
      <c r="A1271" t="s">
        <v>526</v>
      </c>
      <c r="B1271" t="s">
        <v>544</v>
      </c>
      <c r="C1271" t="s">
        <v>537</v>
      </c>
      <c r="D1271">
        <v>20251231</v>
      </c>
      <c r="E1271">
        <v>0</v>
      </c>
      <c r="F1271" t="s">
        <v>538</v>
      </c>
      <c r="G1271" t="s">
        <v>539</v>
      </c>
      <c r="H1271" t="s">
        <v>539</v>
      </c>
      <c r="I1271">
        <v>854649000</v>
      </c>
    </row>
    <row r="1272" spans="1:9" x14ac:dyDescent="0.25">
      <c r="A1272" t="s">
        <v>180</v>
      </c>
      <c r="B1272" t="s">
        <v>544</v>
      </c>
      <c r="C1272" t="s">
        <v>537</v>
      </c>
      <c r="D1272">
        <v>20251231</v>
      </c>
      <c r="E1272">
        <v>0</v>
      </c>
      <c r="F1272" t="s">
        <v>538</v>
      </c>
      <c r="G1272" t="s">
        <v>539</v>
      </c>
      <c r="H1272" t="s">
        <v>539</v>
      </c>
      <c r="I1272">
        <v>207894000</v>
      </c>
    </row>
    <row r="1273" spans="1:9" x14ac:dyDescent="0.25">
      <c r="A1273" t="s">
        <v>182</v>
      </c>
      <c r="B1273" t="s">
        <v>540</v>
      </c>
      <c r="C1273" t="s">
        <v>537</v>
      </c>
      <c r="D1273">
        <v>20251231</v>
      </c>
      <c r="E1273">
        <v>0</v>
      </c>
      <c r="F1273" t="s">
        <v>538</v>
      </c>
      <c r="G1273" t="s">
        <v>539</v>
      </c>
      <c r="H1273" t="s">
        <v>539</v>
      </c>
      <c r="I1273">
        <v>2212669000</v>
      </c>
    </row>
    <row r="1274" spans="1:9" x14ac:dyDescent="0.25">
      <c r="A1274" t="s">
        <v>182</v>
      </c>
      <c r="B1274" t="s">
        <v>544</v>
      </c>
      <c r="C1274" t="s">
        <v>537</v>
      </c>
      <c r="D1274">
        <v>20251231</v>
      </c>
      <c r="E1274">
        <v>0</v>
      </c>
      <c r="F1274" t="s">
        <v>538</v>
      </c>
      <c r="G1274" t="s">
        <v>539</v>
      </c>
      <c r="H1274" t="s">
        <v>539</v>
      </c>
      <c r="I1274">
        <v>218591000</v>
      </c>
    </row>
    <row r="1275" spans="1:9" x14ac:dyDescent="0.25">
      <c r="A1275" t="s">
        <v>188</v>
      </c>
      <c r="B1275" t="s">
        <v>543</v>
      </c>
      <c r="C1275" t="s">
        <v>537</v>
      </c>
      <c r="D1275">
        <v>20251231</v>
      </c>
      <c r="E1275">
        <v>4</v>
      </c>
      <c r="F1275" t="s">
        <v>538</v>
      </c>
      <c r="G1275" t="s">
        <v>539</v>
      </c>
      <c r="H1275" t="s">
        <v>539</v>
      </c>
      <c r="I1275">
        <v>-19553000</v>
      </c>
    </row>
    <row r="1276" spans="1:9" x14ac:dyDescent="0.25">
      <c r="A1276" t="s">
        <v>190</v>
      </c>
      <c r="B1276" t="s">
        <v>536</v>
      </c>
      <c r="C1276" t="s">
        <v>537</v>
      </c>
      <c r="D1276">
        <v>20251231</v>
      </c>
      <c r="E1276">
        <v>0</v>
      </c>
      <c r="F1276" t="s">
        <v>538</v>
      </c>
      <c r="G1276" t="s">
        <v>539</v>
      </c>
      <c r="H1276" t="s">
        <v>539</v>
      </c>
      <c r="I1276">
        <v>1185639000</v>
      </c>
    </row>
    <row r="1277" spans="1:9" x14ac:dyDescent="0.25">
      <c r="A1277" t="s">
        <v>192</v>
      </c>
      <c r="B1277" t="s">
        <v>540</v>
      </c>
      <c r="C1277" t="s">
        <v>537</v>
      </c>
      <c r="D1277">
        <v>20251231</v>
      </c>
      <c r="E1277">
        <v>0</v>
      </c>
      <c r="F1277" t="s">
        <v>538</v>
      </c>
      <c r="G1277" t="s">
        <v>539</v>
      </c>
      <c r="H1277" t="s">
        <v>539</v>
      </c>
      <c r="I1277">
        <v>1618084000</v>
      </c>
    </row>
    <row r="1278" spans="1:9" x14ac:dyDescent="0.25">
      <c r="A1278" t="s">
        <v>194</v>
      </c>
      <c r="B1278" t="s">
        <v>536</v>
      </c>
      <c r="C1278" t="s">
        <v>537</v>
      </c>
      <c r="D1278">
        <v>20251231</v>
      </c>
      <c r="E1278">
        <v>0</v>
      </c>
      <c r="F1278" t="s">
        <v>538</v>
      </c>
      <c r="G1278" t="s">
        <v>539</v>
      </c>
      <c r="H1278" t="s">
        <v>539</v>
      </c>
      <c r="I1278">
        <v>1851782000</v>
      </c>
    </row>
    <row r="1279" spans="1:9" x14ac:dyDescent="0.25">
      <c r="A1279" t="s">
        <v>250</v>
      </c>
      <c r="B1279" t="s">
        <v>541</v>
      </c>
      <c r="C1279" t="s">
        <v>546</v>
      </c>
      <c r="D1279">
        <v>20251231</v>
      </c>
      <c r="E1279">
        <v>4</v>
      </c>
      <c r="F1279" t="s">
        <v>538</v>
      </c>
      <c r="G1279" t="s">
        <v>539</v>
      </c>
      <c r="H1279" t="s">
        <v>539</v>
      </c>
      <c r="I1279">
        <v>135389000</v>
      </c>
    </row>
    <row r="1280" spans="1:9" x14ac:dyDescent="0.25">
      <c r="A1280" t="s">
        <v>264</v>
      </c>
      <c r="B1280" t="s">
        <v>541</v>
      </c>
      <c r="C1280" t="s">
        <v>537</v>
      </c>
      <c r="D1280">
        <v>20251231</v>
      </c>
      <c r="E1280">
        <v>4</v>
      </c>
      <c r="F1280" t="s">
        <v>538</v>
      </c>
      <c r="G1280" t="s">
        <v>539</v>
      </c>
      <c r="H1280" t="s">
        <v>539</v>
      </c>
      <c r="I1280">
        <v>2795632000</v>
      </c>
    </row>
    <row r="1281" spans="1:9" x14ac:dyDescent="0.25">
      <c r="A1281" t="s">
        <v>492</v>
      </c>
      <c r="B1281" t="s">
        <v>542</v>
      </c>
      <c r="C1281" t="s">
        <v>537</v>
      </c>
      <c r="D1281">
        <v>20251231</v>
      </c>
      <c r="E1281">
        <v>4</v>
      </c>
      <c r="F1281" t="s">
        <v>538</v>
      </c>
      <c r="G1281" t="s">
        <v>539</v>
      </c>
      <c r="H1281" t="s">
        <v>539</v>
      </c>
      <c r="I1281">
        <v>0.93</v>
      </c>
    </row>
    <row r="1282" spans="1:9" x14ac:dyDescent="0.25">
      <c r="A1282" t="s">
        <v>492</v>
      </c>
      <c r="B1282" t="s">
        <v>541</v>
      </c>
      <c r="C1282" t="s">
        <v>537</v>
      </c>
      <c r="D1282">
        <v>20251231</v>
      </c>
      <c r="E1282">
        <v>4</v>
      </c>
      <c r="F1282" t="s">
        <v>538</v>
      </c>
      <c r="G1282" t="s">
        <v>539</v>
      </c>
      <c r="H1282" t="s">
        <v>539</v>
      </c>
      <c r="I1282">
        <v>749668000</v>
      </c>
    </row>
    <row r="1283" spans="1:9" x14ac:dyDescent="0.25">
      <c r="A1283" t="s">
        <v>492</v>
      </c>
      <c r="B1283" t="s">
        <v>536</v>
      </c>
      <c r="C1283" t="s">
        <v>537</v>
      </c>
      <c r="D1283">
        <v>20251231</v>
      </c>
      <c r="E1283">
        <v>0</v>
      </c>
      <c r="F1283" t="s">
        <v>538</v>
      </c>
      <c r="G1283" t="s">
        <v>539</v>
      </c>
      <c r="H1283" t="s">
        <v>539</v>
      </c>
      <c r="I1283">
        <v>14876193000</v>
      </c>
    </row>
    <row r="1284" spans="1:9" x14ac:dyDescent="0.25">
      <c r="A1284" t="s">
        <v>494</v>
      </c>
      <c r="B1284" t="s">
        <v>540</v>
      </c>
      <c r="C1284" t="s">
        <v>537</v>
      </c>
      <c r="D1284">
        <v>20251231</v>
      </c>
      <c r="E1284">
        <v>0</v>
      </c>
      <c r="F1284" t="s">
        <v>538</v>
      </c>
      <c r="G1284" t="s">
        <v>539</v>
      </c>
      <c r="H1284" t="s">
        <v>539</v>
      </c>
      <c r="I1284">
        <v>10806594000</v>
      </c>
    </row>
    <row r="1285" spans="1:9" x14ac:dyDescent="0.25">
      <c r="A1285" t="s">
        <v>494</v>
      </c>
      <c r="B1285" t="s">
        <v>536</v>
      </c>
      <c r="C1285" t="s">
        <v>537</v>
      </c>
      <c r="D1285">
        <v>20251231</v>
      </c>
      <c r="E1285">
        <v>0</v>
      </c>
      <c r="F1285" t="s">
        <v>538</v>
      </c>
      <c r="G1285" t="s">
        <v>539</v>
      </c>
      <c r="H1285" t="s">
        <v>539</v>
      </c>
      <c r="I1285">
        <v>9137940000</v>
      </c>
    </row>
    <row r="1286" spans="1:9" x14ac:dyDescent="0.25">
      <c r="A1286" t="s">
        <v>494</v>
      </c>
      <c r="B1286" t="s">
        <v>543</v>
      </c>
      <c r="C1286" t="s">
        <v>537</v>
      </c>
      <c r="D1286">
        <v>20251231</v>
      </c>
      <c r="E1286">
        <v>4</v>
      </c>
      <c r="F1286" t="s">
        <v>538</v>
      </c>
      <c r="G1286" t="s">
        <v>539</v>
      </c>
      <c r="H1286" t="s">
        <v>539</v>
      </c>
      <c r="I1286">
        <v>102872000</v>
      </c>
    </row>
    <row r="1287" spans="1:9" x14ac:dyDescent="0.25">
      <c r="A1287" t="s">
        <v>252</v>
      </c>
      <c r="B1287" t="s">
        <v>545</v>
      </c>
      <c r="C1287" t="s">
        <v>537</v>
      </c>
      <c r="D1287">
        <v>20251231</v>
      </c>
      <c r="E1287">
        <v>4</v>
      </c>
      <c r="F1287" t="s">
        <v>538</v>
      </c>
      <c r="G1287" t="s">
        <v>539</v>
      </c>
      <c r="H1287" t="s">
        <v>539</v>
      </c>
      <c r="I1287">
        <v>220828000</v>
      </c>
    </row>
    <row r="1288" spans="1:9" x14ac:dyDescent="0.25">
      <c r="A1288" t="s">
        <v>254</v>
      </c>
      <c r="B1288" t="s">
        <v>541</v>
      </c>
      <c r="C1288" t="s">
        <v>537</v>
      </c>
      <c r="D1288">
        <v>20251231</v>
      </c>
      <c r="E1288">
        <v>4</v>
      </c>
      <c r="F1288" t="s">
        <v>538</v>
      </c>
      <c r="G1288" t="s">
        <v>539</v>
      </c>
      <c r="H1288" t="s">
        <v>539</v>
      </c>
      <c r="I1288">
        <v>166314000</v>
      </c>
    </row>
    <row r="1289" spans="1:9" x14ac:dyDescent="0.25">
      <c r="A1289" t="s">
        <v>254</v>
      </c>
      <c r="B1289" t="s">
        <v>544</v>
      </c>
      <c r="C1289" t="s">
        <v>537</v>
      </c>
      <c r="D1289">
        <v>20251231</v>
      </c>
      <c r="E1289">
        <v>0</v>
      </c>
      <c r="F1289" t="s">
        <v>538</v>
      </c>
      <c r="G1289" t="s">
        <v>539</v>
      </c>
      <c r="H1289" t="s">
        <v>539</v>
      </c>
      <c r="I1289">
        <v>199716000</v>
      </c>
    </row>
    <row r="1290" spans="1:9" x14ac:dyDescent="0.25">
      <c r="A1290" t="s">
        <v>312</v>
      </c>
      <c r="B1290" t="s">
        <v>540</v>
      </c>
      <c r="C1290" t="s">
        <v>537</v>
      </c>
      <c r="D1290">
        <v>20251231</v>
      </c>
      <c r="E1290">
        <v>0</v>
      </c>
      <c r="F1290" t="s">
        <v>538</v>
      </c>
      <c r="G1290" t="s">
        <v>539</v>
      </c>
      <c r="H1290" t="s">
        <v>539</v>
      </c>
      <c r="I1290">
        <v>9649630000</v>
      </c>
    </row>
    <row r="1291" spans="1:9" x14ac:dyDescent="0.25">
      <c r="A1291" t="s">
        <v>314</v>
      </c>
      <c r="B1291" t="s">
        <v>542</v>
      </c>
      <c r="C1291" t="s">
        <v>537</v>
      </c>
      <c r="D1291">
        <v>20251231</v>
      </c>
      <c r="E1291">
        <v>4</v>
      </c>
      <c r="F1291" t="s">
        <v>538</v>
      </c>
      <c r="G1291" t="s">
        <v>539</v>
      </c>
      <c r="H1291" t="s">
        <v>539</v>
      </c>
      <c r="I1291">
        <v>6.02</v>
      </c>
    </row>
    <row r="1292" spans="1:9" x14ac:dyDescent="0.25">
      <c r="A1292" t="s">
        <v>314</v>
      </c>
      <c r="B1292" t="s">
        <v>541</v>
      </c>
      <c r="C1292" t="s">
        <v>537</v>
      </c>
      <c r="D1292">
        <v>20251231</v>
      </c>
      <c r="E1292">
        <v>4</v>
      </c>
      <c r="F1292" t="s">
        <v>538</v>
      </c>
      <c r="G1292" t="s">
        <v>539</v>
      </c>
      <c r="H1292" t="s">
        <v>539</v>
      </c>
      <c r="I1292">
        <v>1394525000</v>
      </c>
    </row>
    <row r="1293" spans="1:9" x14ac:dyDescent="0.25">
      <c r="A1293" t="s">
        <v>314</v>
      </c>
      <c r="B1293" t="s">
        <v>544</v>
      </c>
      <c r="C1293" t="s">
        <v>537</v>
      </c>
      <c r="D1293">
        <v>20251231</v>
      </c>
      <c r="E1293">
        <v>0</v>
      </c>
      <c r="F1293" t="s">
        <v>538</v>
      </c>
      <c r="G1293" t="s">
        <v>539</v>
      </c>
      <c r="H1293" t="s">
        <v>539</v>
      </c>
      <c r="I1293">
        <v>4076028000</v>
      </c>
    </row>
    <row r="1294" spans="1:9" x14ac:dyDescent="0.25">
      <c r="A1294" t="s">
        <v>318</v>
      </c>
      <c r="B1294" t="s">
        <v>540</v>
      </c>
      <c r="C1294" t="s">
        <v>537</v>
      </c>
      <c r="D1294">
        <v>20251231</v>
      </c>
      <c r="E1294">
        <v>0</v>
      </c>
      <c r="F1294" t="s">
        <v>538</v>
      </c>
      <c r="G1294" t="s">
        <v>539</v>
      </c>
      <c r="H1294" t="s">
        <v>539</v>
      </c>
      <c r="I1294">
        <v>32118400000</v>
      </c>
    </row>
    <row r="1295" spans="1:9" x14ac:dyDescent="0.25">
      <c r="A1295" t="s">
        <v>318</v>
      </c>
      <c r="B1295" t="s">
        <v>544</v>
      </c>
      <c r="C1295" t="s">
        <v>537</v>
      </c>
      <c r="D1295">
        <v>20251231</v>
      </c>
      <c r="E1295">
        <v>0</v>
      </c>
      <c r="F1295" t="s">
        <v>538</v>
      </c>
      <c r="G1295" t="s">
        <v>539</v>
      </c>
      <c r="H1295" t="s">
        <v>539</v>
      </c>
      <c r="I1295">
        <v>3490447000</v>
      </c>
    </row>
    <row r="1296" spans="1:9" x14ac:dyDescent="0.25">
      <c r="A1296" t="s">
        <v>322</v>
      </c>
      <c r="B1296" t="s">
        <v>541</v>
      </c>
      <c r="C1296" t="s">
        <v>537</v>
      </c>
      <c r="D1296">
        <v>20251231</v>
      </c>
      <c r="E1296">
        <v>4</v>
      </c>
      <c r="F1296" t="s">
        <v>538</v>
      </c>
      <c r="G1296" t="s">
        <v>539</v>
      </c>
      <c r="H1296" t="s">
        <v>539</v>
      </c>
      <c r="I1296">
        <v>403074000</v>
      </c>
    </row>
    <row r="1297" spans="1:9" x14ac:dyDescent="0.25">
      <c r="A1297" t="s">
        <v>10</v>
      </c>
      <c r="B1297" t="s">
        <v>541</v>
      </c>
      <c r="C1297" t="s">
        <v>537</v>
      </c>
      <c r="D1297">
        <v>20251231</v>
      </c>
      <c r="E1297">
        <v>4</v>
      </c>
      <c r="F1297" t="s">
        <v>538</v>
      </c>
      <c r="G1297" t="s">
        <v>539</v>
      </c>
      <c r="H1297" t="s">
        <v>539</v>
      </c>
      <c r="I1297">
        <v>362777000</v>
      </c>
    </row>
    <row r="1298" spans="1:9" x14ac:dyDescent="0.25">
      <c r="A1298" t="s">
        <v>10</v>
      </c>
      <c r="B1298" t="s">
        <v>544</v>
      </c>
      <c r="C1298" t="s">
        <v>537</v>
      </c>
      <c r="D1298">
        <v>20251231</v>
      </c>
      <c r="E1298">
        <v>0</v>
      </c>
      <c r="F1298" t="s">
        <v>538</v>
      </c>
      <c r="G1298" t="s">
        <v>539</v>
      </c>
      <c r="H1298" t="s">
        <v>539</v>
      </c>
      <c r="I1298">
        <v>688251000</v>
      </c>
    </row>
    <row r="1299" spans="1:9" x14ac:dyDescent="0.25">
      <c r="A1299" t="s">
        <v>326</v>
      </c>
      <c r="B1299" t="s">
        <v>540</v>
      </c>
      <c r="C1299" t="s">
        <v>537</v>
      </c>
      <c r="D1299">
        <v>20251231</v>
      </c>
      <c r="E1299">
        <v>0</v>
      </c>
      <c r="F1299" t="s">
        <v>538</v>
      </c>
      <c r="G1299" t="s">
        <v>539</v>
      </c>
      <c r="H1299" t="s">
        <v>539</v>
      </c>
      <c r="I1299">
        <v>21129379000</v>
      </c>
    </row>
    <row r="1300" spans="1:9" x14ac:dyDescent="0.25">
      <c r="A1300" t="s">
        <v>326</v>
      </c>
      <c r="B1300" t="s">
        <v>542</v>
      </c>
      <c r="C1300" t="s">
        <v>537</v>
      </c>
      <c r="D1300">
        <v>20251231</v>
      </c>
      <c r="E1300">
        <v>4</v>
      </c>
      <c r="F1300" t="s">
        <v>538</v>
      </c>
      <c r="G1300" t="s">
        <v>539</v>
      </c>
      <c r="H1300" t="s">
        <v>539</v>
      </c>
      <c r="I1300">
        <v>2.68</v>
      </c>
    </row>
    <row r="1301" spans="1:9" x14ac:dyDescent="0.25">
      <c r="A1301" t="s">
        <v>14</v>
      </c>
      <c r="B1301" t="s">
        <v>541</v>
      </c>
      <c r="C1301" t="s">
        <v>537</v>
      </c>
      <c r="D1301">
        <v>20251231</v>
      </c>
      <c r="E1301">
        <v>4</v>
      </c>
      <c r="F1301" t="s">
        <v>538</v>
      </c>
      <c r="G1301" t="s">
        <v>539</v>
      </c>
      <c r="H1301" t="s">
        <v>539</v>
      </c>
      <c r="I1301">
        <v>149952000</v>
      </c>
    </row>
    <row r="1302" spans="1:9" x14ac:dyDescent="0.25">
      <c r="A1302" t="s">
        <v>14</v>
      </c>
      <c r="B1302" t="s">
        <v>545</v>
      </c>
      <c r="C1302" t="s">
        <v>537</v>
      </c>
      <c r="D1302">
        <v>20251231</v>
      </c>
      <c r="E1302">
        <v>4</v>
      </c>
      <c r="F1302" t="s">
        <v>538</v>
      </c>
      <c r="G1302" t="s">
        <v>539</v>
      </c>
      <c r="H1302" t="s">
        <v>539</v>
      </c>
      <c r="I1302">
        <v>19436000</v>
      </c>
    </row>
    <row r="1303" spans="1:9" x14ac:dyDescent="0.25">
      <c r="A1303" t="s">
        <v>328</v>
      </c>
      <c r="B1303" t="s">
        <v>541</v>
      </c>
      <c r="C1303" t="s">
        <v>537</v>
      </c>
      <c r="D1303">
        <v>20251231</v>
      </c>
      <c r="E1303">
        <v>4</v>
      </c>
      <c r="F1303" t="s">
        <v>538</v>
      </c>
      <c r="G1303" t="s">
        <v>539</v>
      </c>
      <c r="H1303" t="s">
        <v>539</v>
      </c>
      <c r="I1303">
        <v>924792000</v>
      </c>
    </row>
    <row r="1304" spans="1:9" x14ac:dyDescent="0.25">
      <c r="A1304" t="s">
        <v>328</v>
      </c>
      <c r="B1304" t="s">
        <v>543</v>
      </c>
      <c r="C1304" t="s">
        <v>537</v>
      </c>
      <c r="D1304">
        <v>20251231</v>
      </c>
      <c r="E1304">
        <v>4</v>
      </c>
      <c r="F1304" t="s">
        <v>538</v>
      </c>
      <c r="G1304" t="s">
        <v>539</v>
      </c>
      <c r="H1304" t="s">
        <v>539</v>
      </c>
      <c r="I1304">
        <v>226001000</v>
      </c>
    </row>
    <row r="1305" spans="1:9" x14ac:dyDescent="0.25">
      <c r="A1305" t="s">
        <v>330</v>
      </c>
      <c r="B1305" t="s">
        <v>543</v>
      </c>
      <c r="C1305" t="s">
        <v>537</v>
      </c>
      <c r="D1305">
        <v>20251231</v>
      </c>
      <c r="E1305">
        <v>4</v>
      </c>
      <c r="F1305" t="s">
        <v>538</v>
      </c>
      <c r="G1305" t="s">
        <v>539</v>
      </c>
      <c r="H1305" t="s">
        <v>539</v>
      </c>
      <c r="I1305">
        <v>152302000</v>
      </c>
    </row>
    <row r="1306" spans="1:9" x14ac:dyDescent="0.25">
      <c r="A1306" t="s">
        <v>332</v>
      </c>
      <c r="B1306" t="s">
        <v>540</v>
      </c>
      <c r="C1306" t="s">
        <v>537</v>
      </c>
      <c r="D1306">
        <v>20251231</v>
      </c>
      <c r="E1306">
        <v>0</v>
      </c>
      <c r="F1306" t="s">
        <v>538</v>
      </c>
      <c r="G1306" t="s">
        <v>539</v>
      </c>
      <c r="H1306" t="s">
        <v>539</v>
      </c>
      <c r="I1306">
        <v>573572000000</v>
      </c>
    </row>
    <row r="1307" spans="1:9" x14ac:dyDescent="0.25">
      <c r="A1307" t="s">
        <v>260</v>
      </c>
      <c r="B1307" t="s">
        <v>541</v>
      </c>
      <c r="C1307" t="s">
        <v>537</v>
      </c>
      <c r="D1307">
        <v>20251231</v>
      </c>
      <c r="E1307">
        <v>4</v>
      </c>
      <c r="F1307" t="s">
        <v>538</v>
      </c>
      <c r="G1307" t="s">
        <v>539</v>
      </c>
      <c r="H1307" t="s">
        <v>539</v>
      </c>
      <c r="I1307">
        <v>232222000</v>
      </c>
    </row>
    <row r="1308" spans="1:9" x14ac:dyDescent="0.25">
      <c r="A1308" t="s">
        <v>334</v>
      </c>
      <c r="B1308" t="s">
        <v>540</v>
      </c>
      <c r="C1308" t="s">
        <v>537</v>
      </c>
      <c r="D1308">
        <v>20251231</v>
      </c>
      <c r="E1308">
        <v>0</v>
      </c>
      <c r="F1308" t="s">
        <v>538</v>
      </c>
      <c r="G1308" t="s">
        <v>539</v>
      </c>
      <c r="H1308" t="s">
        <v>539</v>
      </c>
      <c r="I1308">
        <v>64132725000</v>
      </c>
    </row>
    <row r="1309" spans="1:9" x14ac:dyDescent="0.25">
      <c r="A1309" t="s">
        <v>334</v>
      </c>
      <c r="B1309" t="s">
        <v>536</v>
      </c>
      <c r="C1309" t="s">
        <v>537</v>
      </c>
      <c r="D1309">
        <v>20251231</v>
      </c>
      <c r="E1309">
        <v>0</v>
      </c>
      <c r="F1309" t="s">
        <v>538</v>
      </c>
      <c r="G1309" t="s">
        <v>539</v>
      </c>
      <c r="H1309" t="s">
        <v>539</v>
      </c>
      <c r="I1309">
        <v>56325027000</v>
      </c>
    </row>
    <row r="1310" spans="1:9" x14ac:dyDescent="0.25">
      <c r="A1310" t="s">
        <v>336</v>
      </c>
      <c r="B1310" t="s">
        <v>541</v>
      </c>
      <c r="C1310" t="s">
        <v>537</v>
      </c>
      <c r="D1310">
        <v>20251231</v>
      </c>
      <c r="E1310">
        <v>4</v>
      </c>
      <c r="F1310" t="s">
        <v>538</v>
      </c>
      <c r="G1310" t="s">
        <v>539</v>
      </c>
      <c r="H1310" t="s">
        <v>539</v>
      </c>
      <c r="I1310">
        <v>420089000</v>
      </c>
    </row>
    <row r="1311" spans="1:9" x14ac:dyDescent="0.25">
      <c r="A1311" t="s">
        <v>336</v>
      </c>
      <c r="B1311" t="s">
        <v>536</v>
      </c>
      <c r="C1311" t="s">
        <v>537</v>
      </c>
      <c r="D1311">
        <v>20251231</v>
      </c>
      <c r="E1311">
        <v>0</v>
      </c>
      <c r="F1311" t="s">
        <v>538</v>
      </c>
      <c r="G1311" t="s">
        <v>539</v>
      </c>
      <c r="H1311" t="s">
        <v>539</v>
      </c>
      <c r="I1311">
        <v>7226455000</v>
      </c>
    </row>
    <row r="1312" spans="1:9" x14ac:dyDescent="0.25">
      <c r="A1312" t="s">
        <v>338</v>
      </c>
      <c r="B1312" t="s">
        <v>542</v>
      </c>
      <c r="C1312" t="s">
        <v>537</v>
      </c>
      <c r="D1312">
        <v>20251231</v>
      </c>
      <c r="E1312">
        <v>4</v>
      </c>
      <c r="F1312" t="s">
        <v>538</v>
      </c>
      <c r="G1312" t="s">
        <v>539</v>
      </c>
      <c r="H1312" t="s">
        <v>539</v>
      </c>
      <c r="I1312">
        <v>2.09</v>
      </c>
    </row>
    <row r="1313" spans="1:9" x14ac:dyDescent="0.25">
      <c r="A1313" t="s">
        <v>344</v>
      </c>
      <c r="B1313" t="s">
        <v>544</v>
      </c>
      <c r="C1313" t="s">
        <v>546</v>
      </c>
      <c r="D1313">
        <v>20251231</v>
      </c>
      <c r="E1313">
        <v>0</v>
      </c>
      <c r="F1313" t="s">
        <v>538</v>
      </c>
      <c r="G1313" t="s">
        <v>539</v>
      </c>
      <c r="H1313" t="s">
        <v>539</v>
      </c>
      <c r="I1313">
        <v>552851000</v>
      </c>
    </row>
    <row r="1314" spans="1:9" x14ac:dyDescent="0.25">
      <c r="A1314" t="s">
        <v>346</v>
      </c>
      <c r="B1314" t="s">
        <v>544</v>
      </c>
      <c r="C1314" t="s">
        <v>537</v>
      </c>
      <c r="D1314">
        <v>20251231</v>
      </c>
      <c r="E1314">
        <v>0</v>
      </c>
      <c r="F1314" t="s">
        <v>538</v>
      </c>
      <c r="G1314" t="s">
        <v>539</v>
      </c>
      <c r="H1314" t="s">
        <v>539</v>
      </c>
      <c r="I1314">
        <v>809680000</v>
      </c>
    </row>
    <row r="1315" spans="1:9" x14ac:dyDescent="0.25">
      <c r="A1315" t="s">
        <v>22</v>
      </c>
      <c r="B1315" t="s">
        <v>545</v>
      </c>
      <c r="C1315" t="s">
        <v>537</v>
      </c>
      <c r="D1315">
        <v>20251231</v>
      </c>
      <c r="E1315">
        <v>4</v>
      </c>
      <c r="F1315" t="s">
        <v>538</v>
      </c>
      <c r="G1315" t="s">
        <v>539</v>
      </c>
      <c r="H1315" t="s">
        <v>539</v>
      </c>
      <c r="I1315">
        <v>233774000</v>
      </c>
    </row>
    <row r="1316" spans="1:9" x14ac:dyDescent="0.25">
      <c r="A1316" t="s">
        <v>24</v>
      </c>
      <c r="B1316" t="s">
        <v>541</v>
      </c>
      <c r="C1316" t="s">
        <v>537</v>
      </c>
      <c r="D1316">
        <v>20251231</v>
      </c>
      <c r="E1316">
        <v>4</v>
      </c>
      <c r="F1316" t="s">
        <v>538</v>
      </c>
      <c r="G1316" t="s">
        <v>539</v>
      </c>
      <c r="H1316" t="s">
        <v>539</v>
      </c>
      <c r="I1316">
        <v>392345000</v>
      </c>
    </row>
    <row r="1317" spans="1:9" x14ac:dyDescent="0.25">
      <c r="A1317" t="s">
        <v>26</v>
      </c>
      <c r="B1317" t="s">
        <v>536</v>
      </c>
      <c r="C1317" t="s">
        <v>537</v>
      </c>
      <c r="D1317">
        <v>20251231</v>
      </c>
      <c r="E1317">
        <v>0</v>
      </c>
      <c r="F1317" t="s">
        <v>538</v>
      </c>
      <c r="G1317" t="s">
        <v>539</v>
      </c>
      <c r="H1317" t="s">
        <v>539</v>
      </c>
      <c r="I1317">
        <v>1417917000</v>
      </c>
    </row>
    <row r="1318" spans="1:9" x14ac:dyDescent="0.25">
      <c r="A1318" t="s">
        <v>26</v>
      </c>
      <c r="B1318" t="s">
        <v>543</v>
      </c>
      <c r="C1318" t="s">
        <v>537</v>
      </c>
      <c r="D1318">
        <v>20251231</v>
      </c>
      <c r="E1318">
        <v>4</v>
      </c>
      <c r="F1318" t="s">
        <v>538</v>
      </c>
      <c r="G1318" t="s">
        <v>539</v>
      </c>
      <c r="H1318" t="s">
        <v>539</v>
      </c>
      <c r="I1318">
        <v>6152000</v>
      </c>
    </row>
    <row r="1319" spans="1:9" x14ac:dyDescent="0.25">
      <c r="A1319" t="s">
        <v>28</v>
      </c>
      <c r="B1319" t="s">
        <v>541</v>
      </c>
      <c r="C1319" t="s">
        <v>537</v>
      </c>
      <c r="D1319">
        <v>20251231</v>
      </c>
      <c r="E1319">
        <v>4</v>
      </c>
      <c r="F1319" t="s">
        <v>538</v>
      </c>
      <c r="G1319" t="s">
        <v>539</v>
      </c>
      <c r="H1319" t="s">
        <v>539</v>
      </c>
      <c r="I1319">
        <v>320655000</v>
      </c>
    </row>
    <row r="1320" spans="1:9" x14ac:dyDescent="0.25">
      <c r="A1320" t="s">
        <v>350</v>
      </c>
      <c r="B1320" t="s">
        <v>542</v>
      </c>
      <c r="C1320" t="s">
        <v>537</v>
      </c>
      <c r="D1320">
        <v>20251231</v>
      </c>
      <c r="E1320">
        <v>4</v>
      </c>
      <c r="F1320" t="s">
        <v>538</v>
      </c>
      <c r="G1320" t="s">
        <v>539</v>
      </c>
      <c r="H1320" t="s">
        <v>539</v>
      </c>
      <c r="I1320">
        <v>3.9</v>
      </c>
    </row>
    <row r="1321" spans="1:9" x14ac:dyDescent="0.25">
      <c r="A1321" t="s">
        <v>30</v>
      </c>
      <c r="B1321" t="s">
        <v>544</v>
      </c>
      <c r="C1321" t="s">
        <v>537</v>
      </c>
      <c r="D1321">
        <v>20251231</v>
      </c>
      <c r="E1321">
        <v>0</v>
      </c>
      <c r="F1321" t="s">
        <v>538</v>
      </c>
      <c r="G1321" t="s">
        <v>539</v>
      </c>
      <c r="H1321" t="s">
        <v>539</v>
      </c>
      <c r="I1321">
        <v>283143000</v>
      </c>
    </row>
    <row r="1322" spans="1:9" x14ac:dyDescent="0.25">
      <c r="A1322" t="s">
        <v>32</v>
      </c>
      <c r="B1322" t="s">
        <v>540</v>
      </c>
      <c r="C1322" t="s">
        <v>537</v>
      </c>
      <c r="D1322">
        <v>20251231</v>
      </c>
      <c r="E1322">
        <v>0</v>
      </c>
      <c r="F1322" t="s">
        <v>538</v>
      </c>
      <c r="G1322" t="s">
        <v>539</v>
      </c>
      <c r="H1322" t="s">
        <v>539</v>
      </c>
      <c r="I1322">
        <v>5071390000</v>
      </c>
    </row>
    <row r="1323" spans="1:9" x14ac:dyDescent="0.25">
      <c r="A1323" t="s">
        <v>352</v>
      </c>
      <c r="B1323" t="s">
        <v>536</v>
      </c>
      <c r="C1323" t="s">
        <v>537</v>
      </c>
      <c r="D1323">
        <v>20251231</v>
      </c>
      <c r="E1323">
        <v>0</v>
      </c>
      <c r="F1323" t="s">
        <v>538</v>
      </c>
      <c r="G1323" t="s">
        <v>539</v>
      </c>
      <c r="H1323" t="s">
        <v>539</v>
      </c>
      <c r="I1323">
        <v>21347168000</v>
      </c>
    </row>
    <row r="1324" spans="1:9" x14ac:dyDescent="0.25">
      <c r="A1324" t="s">
        <v>206</v>
      </c>
      <c r="B1324" t="s">
        <v>543</v>
      </c>
      <c r="C1324" t="s">
        <v>537</v>
      </c>
      <c r="D1324">
        <v>20251231</v>
      </c>
      <c r="E1324">
        <v>4</v>
      </c>
      <c r="F1324" t="s">
        <v>538</v>
      </c>
      <c r="G1324" t="s">
        <v>539</v>
      </c>
      <c r="H1324" t="s">
        <v>539</v>
      </c>
      <c r="I1324">
        <v>35198000</v>
      </c>
    </row>
    <row r="1325" spans="1:9" x14ac:dyDescent="0.25">
      <c r="A1325" t="s">
        <v>206</v>
      </c>
      <c r="B1325" t="s">
        <v>544</v>
      </c>
      <c r="C1325" t="s">
        <v>537</v>
      </c>
      <c r="D1325">
        <v>20251231</v>
      </c>
      <c r="E1325">
        <v>0</v>
      </c>
      <c r="F1325" t="s">
        <v>538</v>
      </c>
      <c r="G1325" t="s">
        <v>539</v>
      </c>
      <c r="H1325" t="s">
        <v>539</v>
      </c>
      <c r="I1325">
        <v>301489000</v>
      </c>
    </row>
    <row r="1326" spans="1:9" x14ac:dyDescent="0.25">
      <c r="A1326" t="s">
        <v>500</v>
      </c>
      <c r="B1326" t="s">
        <v>543</v>
      </c>
      <c r="C1326" t="s">
        <v>537</v>
      </c>
      <c r="D1326">
        <v>20251231</v>
      </c>
      <c r="E1326">
        <v>4</v>
      </c>
      <c r="F1326" t="s">
        <v>538</v>
      </c>
      <c r="G1326" t="s">
        <v>539</v>
      </c>
      <c r="H1326" t="s">
        <v>539</v>
      </c>
      <c r="I1326">
        <v>75197000</v>
      </c>
    </row>
    <row r="1327" spans="1:9" x14ac:dyDescent="0.25">
      <c r="A1327" t="s">
        <v>354</v>
      </c>
      <c r="B1327" t="s">
        <v>542</v>
      </c>
      <c r="C1327" t="s">
        <v>537</v>
      </c>
      <c r="D1327">
        <v>20251231</v>
      </c>
      <c r="E1327">
        <v>4</v>
      </c>
      <c r="F1327" t="s">
        <v>538</v>
      </c>
      <c r="G1327" t="s">
        <v>539</v>
      </c>
      <c r="H1327" t="s">
        <v>539</v>
      </c>
      <c r="I1327">
        <v>165.24</v>
      </c>
    </row>
    <row r="1328" spans="1:9" x14ac:dyDescent="0.25">
      <c r="A1328" t="s">
        <v>354</v>
      </c>
      <c r="B1328" t="s">
        <v>536</v>
      </c>
      <c r="C1328" t="s">
        <v>537</v>
      </c>
      <c r="D1328">
        <v>20251231</v>
      </c>
      <c r="E1328">
        <v>0</v>
      </c>
      <c r="F1328" t="s">
        <v>538</v>
      </c>
      <c r="G1328" t="s">
        <v>539</v>
      </c>
      <c r="H1328" t="s">
        <v>539</v>
      </c>
      <c r="I1328">
        <v>207460000000</v>
      </c>
    </row>
    <row r="1329" spans="1:9" x14ac:dyDescent="0.25">
      <c r="A1329" t="s">
        <v>354</v>
      </c>
      <c r="B1329" t="s">
        <v>543</v>
      </c>
      <c r="C1329" t="s">
        <v>537</v>
      </c>
      <c r="D1329">
        <v>20251231</v>
      </c>
      <c r="E1329">
        <v>4</v>
      </c>
      <c r="F1329" t="s">
        <v>538</v>
      </c>
      <c r="G1329" t="s">
        <v>539</v>
      </c>
      <c r="H1329" t="s">
        <v>539</v>
      </c>
      <c r="I1329">
        <v>2206000000</v>
      </c>
    </row>
    <row r="1330" spans="1:9" x14ac:dyDescent="0.25">
      <c r="A1330" t="s">
        <v>358</v>
      </c>
      <c r="B1330" t="s">
        <v>540</v>
      </c>
      <c r="C1330" t="s">
        <v>537</v>
      </c>
      <c r="D1330">
        <v>20251231</v>
      </c>
      <c r="E1330">
        <v>0</v>
      </c>
      <c r="F1330" t="s">
        <v>538</v>
      </c>
      <c r="G1330" t="s">
        <v>539</v>
      </c>
      <c r="H1330" t="s">
        <v>539</v>
      </c>
      <c r="I1330">
        <v>9805013000</v>
      </c>
    </row>
    <row r="1331" spans="1:9" x14ac:dyDescent="0.25">
      <c r="A1331" t="s">
        <v>360</v>
      </c>
      <c r="B1331" t="s">
        <v>544</v>
      </c>
      <c r="C1331" t="s">
        <v>537</v>
      </c>
      <c r="D1331">
        <v>20251231</v>
      </c>
      <c r="E1331">
        <v>0</v>
      </c>
      <c r="F1331" t="s">
        <v>538</v>
      </c>
      <c r="G1331" t="s">
        <v>539</v>
      </c>
      <c r="H1331" t="s">
        <v>539</v>
      </c>
      <c r="I1331">
        <v>1654168000</v>
      </c>
    </row>
    <row r="1332" spans="1:9" x14ac:dyDescent="0.25">
      <c r="A1332" t="s">
        <v>526</v>
      </c>
      <c r="B1332" t="s">
        <v>543</v>
      </c>
      <c r="C1332" t="s">
        <v>537</v>
      </c>
      <c r="D1332">
        <v>20251231</v>
      </c>
      <c r="E1332">
        <v>4</v>
      </c>
      <c r="F1332" t="s">
        <v>538</v>
      </c>
      <c r="G1332" t="s">
        <v>539</v>
      </c>
      <c r="H1332" t="s">
        <v>539</v>
      </c>
      <c r="I1332">
        <v>117306000</v>
      </c>
    </row>
    <row r="1333" spans="1:9" x14ac:dyDescent="0.25">
      <c r="A1333" t="s">
        <v>502</v>
      </c>
      <c r="B1333" t="s">
        <v>541</v>
      </c>
      <c r="C1333" t="s">
        <v>537</v>
      </c>
      <c r="D1333">
        <v>20251231</v>
      </c>
      <c r="E1333">
        <v>4</v>
      </c>
      <c r="F1333" t="s">
        <v>538</v>
      </c>
      <c r="G1333" t="s">
        <v>539</v>
      </c>
      <c r="H1333" t="s">
        <v>539</v>
      </c>
      <c r="I1333">
        <v>430467000</v>
      </c>
    </row>
    <row r="1334" spans="1:9" x14ac:dyDescent="0.25">
      <c r="A1334" t="s">
        <v>502</v>
      </c>
      <c r="B1334" t="s">
        <v>544</v>
      </c>
      <c r="C1334" t="s">
        <v>537</v>
      </c>
      <c r="D1334">
        <v>20251231</v>
      </c>
      <c r="E1334">
        <v>0</v>
      </c>
      <c r="F1334" t="s">
        <v>538</v>
      </c>
      <c r="G1334" t="s">
        <v>539</v>
      </c>
      <c r="H1334" t="s">
        <v>539</v>
      </c>
      <c r="I1334">
        <v>941771000</v>
      </c>
    </row>
    <row r="1335" spans="1:9" x14ac:dyDescent="0.25">
      <c r="A1335" t="s">
        <v>364</v>
      </c>
      <c r="B1335" t="s">
        <v>536</v>
      </c>
      <c r="C1335" t="s">
        <v>537</v>
      </c>
      <c r="D1335">
        <v>20251231</v>
      </c>
      <c r="E1335">
        <v>0</v>
      </c>
      <c r="F1335" t="s">
        <v>538</v>
      </c>
      <c r="G1335" t="s">
        <v>539</v>
      </c>
      <c r="H1335" t="s">
        <v>539</v>
      </c>
      <c r="I1335">
        <v>18586001000</v>
      </c>
    </row>
    <row r="1336" spans="1:9" x14ac:dyDescent="0.25">
      <c r="A1336" t="s">
        <v>264</v>
      </c>
      <c r="B1336" t="s">
        <v>544</v>
      </c>
      <c r="C1336" t="s">
        <v>537</v>
      </c>
      <c r="D1336">
        <v>20251231</v>
      </c>
      <c r="E1336">
        <v>0</v>
      </c>
      <c r="F1336" t="s">
        <v>538</v>
      </c>
      <c r="G1336" t="s">
        <v>539</v>
      </c>
      <c r="H1336" t="s">
        <v>539</v>
      </c>
      <c r="I1336">
        <v>7043715000</v>
      </c>
    </row>
    <row r="1337" spans="1:9" x14ac:dyDescent="0.25">
      <c r="A1337" t="s">
        <v>368</v>
      </c>
      <c r="B1337" t="s">
        <v>536</v>
      </c>
      <c r="C1337" t="s">
        <v>537</v>
      </c>
      <c r="D1337">
        <v>20251231</v>
      </c>
      <c r="E1337">
        <v>0</v>
      </c>
      <c r="F1337" t="s">
        <v>538</v>
      </c>
      <c r="G1337" t="s">
        <v>539</v>
      </c>
      <c r="H1337" t="s">
        <v>539</v>
      </c>
      <c r="I1337">
        <v>13865862000</v>
      </c>
    </row>
    <row r="1338" spans="1:9" x14ac:dyDescent="0.25">
      <c r="A1338" t="s">
        <v>216</v>
      </c>
      <c r="B1338" t="s">
        <v>542</v>
      </c>
      <c r="C1338" t="s">
        <v>537</v>
      </c>
      <c r="D1338">
        <v>20251231</v>
      </c>
      <c r="E1338">
        <v>4</v>
      </c>
      <c r="F1338" t="s">
        <v>538</v>
      </c>
      <c r="G1338" t="s">
        <v>539</v>
      </c>
      <c r="H1338" t="s">
        <v>539</v>
      </c>
      <c r="I1338">
        <v>0.97</v>
      </c>
    </row>
    <row r="1339" spans="1:9" x14ac:dyDescent="0.25">
      <c r="A1339" t="s">
        <v>216</v>
      </c>
      <c r="B1339" t="s">
        <v>541</v>
      </c>
      <c r="C1339" t="s">
        <v>537</v>
      </c>
      <c r="D1339">
        <v>20251231</v>
      </c>
      <c r="E1339">
        <v>4</v>
      </c>
      <c r="F1339" t="s">
        <v>538</v>
      </c>
      <c r="G1339" t="s">
        <v>539</v>
      </c>
      <c r="H1339" t="s">
        <v>539</v>
      </c>
      <c r="I1339">
        <v>75939000</v>
      </c>
    </row>
    <row r="1340" spans="1:9" x14ac:dyDescent="0.25">
      <c r="A1340" t="s">
        <v>374</v>
      </c>
      <c r="B1340" t="s">
        <v>543</v>
      </c>
      <c r="C1340" t="s">
        <v>537</v>
      </c>
      <c r="D1340">
        <v>20251231</v>
      </c>
      <c r="E1340">
        <v>4</v>
      </c>
      <c r="F1340" t="s">
        <v>538</v>
      </c>
      <c r="G1340" t="s">
        <v>539</v>
      </c>
      <c r="H1340" t="s">
        <v>539</v>
      </c>
      <c r="I1340">
        <v>239028000</v>
      </c>
    </row>
    <row r="1341" spans="1:9" x14ac:dyDescent="0.25">
      <c r="A1341" t="s">
        <v>374</v>
      </c>
      <c r="B1341" t="s">
        <v>544</v>
      </c>
      <c r="C1341" t="s">
        <v>537</v>
      </c>
      <c r="D1341">
        <v>20251231</v>
      </c>
      <c r="E1341">
        <v>0</v>
      </c>
      <c r="F1341" t="s">
        <v>538</v>
      </c>
      <c r="G1341" t="s">
        <v>539</v>
      </c>
      <c r="H1341" t="s">
        <v>539</v>
      </c>
      <c r="I1341">
        <v>4213821000</v>
      </c>
    </row>
    <row r="1342" spans="1:9" x14ac:dyDescent="0.25">
      <c r="A1342" t="s">
        <v>36</v>
      </c>
      <c r="B1342" t="s">
        <v>544</v>
      </c>
      <c r="C1342" t="s">
        <v>537</v>
      </c>
      <c r="D1342">
        <v>20251231</v>
      </c>
      <c r="E1342">
        <v>0</v>
      </c>
      <c r="F1342" t="s">
        <v>538</v>
      </c>
      <c r="G1342" t="s">
        <v>539</v>
      </c>
      <c r="H1342" t="s">
        <v>539</v>
      </c>
      <c r="I1342">
        <v>814058000</v>
      </c>
    </row>
    <row r="1343" spans="1:9" x14ac:dyDescent="0.25">
      <c r="A1343" t="s">
        <v>38</v>
      </c>
      <c r="B1343" t="s">
        <v>544</v>
      </c>
      <c r="C1343" t="s">
        <v>537</v>
      </c>
      <c r="D1343">
        <v>20251231</v>
      </c>
      <c r="E1343">
        <v>0</v>
      </c>
      <c r="F1343" t="s">
        <v>538</v>
      </c>
      <c r="G1343" t="s">
        <v>539</v>
      </c>
      <c r="H1343" t="s">
        <v>539</v>
      </c>
      <c r="I1343">
        <v>188839000</v>
      </c>
    </row>
    <row r="1344" spans="1:9" x14ac:dyDescent="0.25">
      <c r="A1344" t="s">
        <v>504</v>
      </c>
      <c r="B1344" t="s">
        <v>540</v>
      </c>
      <c r="C1344" t="s">
        <v>537</v>
      </c>
      <c r="D1344">
        <v>20251231</v>
      </c>
      <c r="E1344">
        <v>0</v>
      </c>
      <c r="F1344" t="s">
        <v>538</v>
      </c>
      <c r="G1344" t="s">
        <v>539</v>
      </c>
      <c r="H1344" t="s">
        <v>539</v>
      </c>
      <c r="I1344">
        <v>8214740000</v>
      </c>
    </row>
    <row r="1345" spans="1:9" x14ac:dyDescent="0.25">
      <c r="A1345" t="s">
        <v>504</v>
      </c>
      <c r="B1345" t="s">
        <v>544</v>
      </c>
      <c r="C1345" t="s">
        <v>537</v>
      </c>
      <c r="D1345">
        <v>20251231</v>
      </c>
      <c r="E1345">
        <v>0</v>
      </c>
      <c r="F1345" t="s">
        <v>538</v>
      </c>
      <c r="G1345" t="s">
        <v>539</v>
      </c>
      <c r="H1345" t="s">
        <v>539</v>
      </c>
      <c r="I1345">
        <v>896883000</v>
      </c>
    </row>
    <row r="1346" spans="1:9" x14ac:dyDescent="0.25">
      <c r="A1346" t="s">
        <v>380</v>
      </c>
      <c r="B1346" t="s">
        <v>536</v>
      </c>
      <c r="C1346" t="s">
        <v>537</v>
      </c>
      <c r="D1346">
        <v>20251231</v>
      </c>
      <c r="E1346">
        <v>0</v>
      </c>
      <c r="F1346" t="s">
        <v>538</v>
      </c>
      <c r="G1346" t="s">
        <v>539</v>
      </c>
      <c r="H1346" t="s">
        <v>539</v>
      </c>
      <c r="I1346">
        <v>58992000000</v>
      </c>
    </row>
    <row r="1347" spans="1:9" x14ac:dyDescent="0.25">
      <c r="A1347" t="s">
        <v>40</v>
      </c>
      <c r="B1347" t="s">
        <v>540</v>
      </c>
      <c r="C1347" t="s">
        <v>537</v>
      </c>
      <c r="D1347">
        <v>20251231</v>
      </c>
      <c r="E1347">
        <v>0</v>
      </c>
      <c r="F1347" t="s">
        <v>538</v>
      </c>
      <c r="G1347" t="s">
        <v>539</v>
      </c>
      <c r="H1347" t="s">
        <v>539</v>
      </c>
      <c r="I1347">
        <v>1894850000</v>
      </c>
    </row>
    <row r="1348" spans="1:9" x14ac:dyDescent="0.25">
      <c r="A1348" t="s">
        <v>40</v>
      </c>
      <c r="B1348" t="s">
        <v>542</v>
      </c>
      <c r="C1348" t="s">
        <v>537</v>
      </c>
      <c r="D1348">
        <v>20251231</v>
      </c>
      <c r="E1348">
        <v>4</v>
      </c>
      <c r="F1348" t="s">
        <v>538</v>
      </c>
      <c r="G1348" t="s">
        <v>539</v>
      </c>
      <c r="H1348" t="s">
        <v>539</v>
      </c>
      <c r="I1348">
        <v>3.44</v>
      </c>
    </row>
    <row r="1349" spans="1:9" x14ac:dyDescent="0.25">
      <c r="A1349" t="s">
        <v>42</v>
      </c>
      <c r="B1349" t="s">
        <v>540</v>
      </c>
      <c r="C1349" t="s">
        <v>537</v>
      </c>
      <c r="D1349">
        <v>20251231</v>
      </c>
      <c r="E1349">
        <v>0</v>
      </c>
      <c r="F1349" t="s">
        <v>538</v>
      </c>
      <c r="G1349" t="s">
        <v>539</v>
      </c>
      <c r="H1349" t="s">
        <v>539</v>
      </c>
      <c r="I1349">
        <v>2768494000</v>
      </c>
    </row>
    <row r="1350" spans="1:9" x14ac:dyDescent="0.25">
      <c r="A1350" t="s">
        <v>42</v>
      </c>
      <c r="B1350" t="s">
        <v>543</v>
      </c>
      <c r="C1350" t="s">
        <v>537</v>
      </c>
      <c r="D1350">
        <v>20251231</v>
      </c>
      <c r="E1350">
        <v>4</v>
      </c>
      <c r="F1350" t="s">
        <v>538</v>
      </c>
      <c r="G1350" t="s">
        <v>539</v>
      </c>
      <c r="H1350" t="s">
        <v>539</v>
      </c>
      <c r="I1350">
        <v>26835000</v>
      </c>
    </row>
    <row r="1351" spans="1:9" x14ac:dyDescent="0.25">
      <c r="A1351" t="s">
        <v>382</v>
      </c>
      <c r="B1351" t="s">
        <v>540</v>
      </c>
      <c r="C1351" t="s">
        <v>537</v>
      </c>
      <c r="D1351">
        <v>20251231</v>
      </c>
      <c r="E1351">
        <v>0</v>
      </c>
      <c r="F1351" t="s">
        <v>538</v>
      </c>
      <c r="G1351" t="s">
        <v>539</v>
      </c>
      <c r="H1351" t="s">
        <v>539</v>
      </c>
      <c r="I1351">
        <v>669009000000</v>
      </c>
    </row>
    <row r="1352" spans="1:9" x14ac:dyDescent="0.25">
      <c r="A1352" t="s">
        <v>382</v>
      </c>
      <c r="B1352" t="s">
        <v>542</v>
      </c>
      <c r="C1352" t="s">
        <v>537</v>
      </c>
      <c r="D1352">
        <v>20251231</v>
      </c>
      <c r="E1352">
        <v>4</v>
      </c>
      <c r="F1352" t="s">
        <v>538</v>
      </c>
      <c r="G1352" t="s">
        <v>539</v>
      </c>
      <c r="H1352" t="s">
        <v>539</v>
      </c>
      <c r="I1352">
        <v>4.03</v>
      </c>
    </row>
    <row r="1353" spans="1:9" x14ac:dyDescent="0.25">
      <c r="A1353" t="s">
        <v>382</v>
      </c>
      <c r="B1353" t="s">
        <v>536</v>
      </c>
      <c r="C1353" t="s">
        <v>537</v>
      </c>
      <c r="D1353">
        <v>20251231</v>
      </c>
      <c r="E1353">
        <v>0</v>
      </c>
      <c r="F1353" t="s">
        <v>538</v>
      </c>
      <c r="G1353" t="s">
        <v>539</v>
      </c>
      <c r="H1353" t="s">
        <v>539</v>
      </c>
      <c r="I1353">
        <v>555393000000</v>
      </c>
    </row>
    <row r="1354" spans="1:9" x14ac:dyDescent="0.25">
      <c r="A1354" t="s">
        <v>382</v>
      </c>
      <c r="B1354" t="s">
        <v>543</v>
      </c>
      <c r="C1354" t="s">
        <v>537</v>
      </c>
      <c r="D1354">
        <v>20251231</v>
      </c>
      <c r="E1354">
        <v>4</v>
      </c>
      <c r="F1354" t="s">
        <v>538</v>
      </c>
      <c r="G1354" t="s">
        <v>539</v>
      </c>
      <c r="H1354" t="s">
        <v>539</v>
      </c>
      <c r="I1354">
        <v>2453000000</v>
      </c>
    </row>
    <row r="1355" spans="1:9" x14ac:dyDescent="0.25">
      <c r="A1355" t="s">
        <v>508</v>
      </c>
      <c r="B1355" t="s">
        <v>542</v>
      </c>
      <c r="C1355" t="s">
        <v>537</v>
      </c>
      <c r="D1355">
        <v>20251231</v>
      </c>
      <c r="E1355">
        <v>4</v>
      </c>
      <c r="F1355" t="s">
        <v>538</v>
      </c>
      <c r="G1355" t="s">
        <v>539</v>
      </c>
      <c r="H1355" t="s">
        <v>539</v>
      </c>
      <c r="I1355">
        <v>8.7899999999999991</v>
      </c>
    </row>
    <row r="1356" spans="1:9" x14ac:dyDescent="0.25">
      <c r="A1356" t="s">
        <v>384</v>
      </c>
      <c r="B1356" t="s">
        <v>543</v>
      </c>
      <c r="C1356" t="s">
        <v>537</v>
      </c>
      <c r="D1356">
        <v>20251231</v>
      </c>
      <c r="E1356">
        <v>4</v>
      </c>
      <c r="F1356" t="s">
        <v>538</v>
      </c>
      <c r="G1356" t="s">
        <v>539</v>
      </c>
      <c r="H1356" t="s">
        <v>539</v>
      </c>
      <c r="I1356">
        <v>195382000</v>
      </c>
    </row>
    <row r="1357" spans="1:9" x14ac:dyDescent="0.25">
      <c r="A1357" t="s">
        <v>386</v>
      </c>
      <c r="B1357" t="s">
        <v>540</v>
      </c>
      <c r="C1357" t="s">
        <v>537</v>
      </c>
      <c r="D1357">
        <v>20251231</v>
      </c>
      <c r="E1357">
        <v>0</v>
      </c>
      <c r="F1357" t="s">
        <v>538</v>
      </c>
      <c r="G1357" t="s">
        <v>539</v>
      </c>
      <c r="H1357" t="s">
        <v>539</v>
      </c>
      <c r="I1357">
        <v>14564317000</v>
      </c>
    </row>
    <row r="1358" spans="1:9" x14ac:dyDescent="0.25">
      <c r="A1358" t="s">
        <v>388</v>
      </c>
      <c r="B1358" t="s">
        <v>542</v>
      </c>
      <c r="C1358" t="s">
        <v>537</v>
      </c>
      <c r="D1358">
        <v>20251231</v>
      </c>
      <c r="E1358">
        <v>4</v>
      </c>
      <c r="F1358" t="s">
        <v>538</v>
      </c>
      <c r="G1358" t="s">
        <v>539</v>
      </c>
      <c r="H1358" t="s">
        <v>539</v>
      </c>
      <c r="I1358">
        <v>11.3</v>
      </c>
    </row>
    <row r="1359" spans="1:9" x14ac:dyDescent="0.25">
      <c r="A1359" t="s">
        <v>390</v>
      </c>
      <c r="B1359" t="s">
        <v>541</v>
      </c>
      <c r="C1359" t="s">
        <v>537</v>
      </c>
      <c r="D1359">
        <v>20251231</v>
      </c>
      <c r="E1359">
        <v>4</v>
      </c>
      <c r="F1359" t="s">
        <v>538</v>
      </c>
      <c r="G1359" t="s">
        <v>539</v>
      </c>
      <c r="H1359" t="s">
        <v>539</v>
      </c>
      <c r="I1359">
        <v>3728033000</v>
      </c>
    </row>
    <row r="1360" spans="1:9" x14ac:dyDescent="0.25">
      <c r="A1360" t="s">
        <v>390</v>
      </c>
      <c r="B1360" t="s">
        <v>543</v>
      </c>
      <c r="C1360" t="s">
        <v>537</v>
      </c>
      <c r="D1360">
        <v>20251231</v>
      </c>
      <c r="E1360">
        <v>4</v>
      </c>
      <c r="F1360" t="s">
        <v>538</v>
      </c>
      <c r="G1360" t="s">
        <v>539</v>
      </c>
      <c r="H1360" t="s">
        <v>539</v>
      </c>
      <c r="I1360">
        <v>823844000</v>
      </c>
    </row>
    <row r="1361" spans="1:9" x14ac:dyDescent="0.25">
      <c r="A1361" t="s">
        <v>392</v>
      </c>
      <c r="B1361" t="s">
        <v>540</v>
      </c>
      <c r="C1361" t="s">
        <v>537</v>
      </c>
      <c r="D1361">
        <v>20251231</v>
      </c>
      <c r="E1361">
        <v>0</v>
      </c>
      <c r="F1361" t="s">
        <v>538</v>
      </c>
      <c r="G1361" t="s">
        <v>539</v>
      </c>
      <c r="H1361" t="s">
        <v>539</v>
      </c>
      <c r="I1361">
        <v>17300884000</v>
      </c>
    </row>
    <row r="1362" spans="1:9" x14ac:dyDescent="0.25">
      <c r="A1362" t="s">
        <v>516</v>
      </c>
      <c r="B1362" t="s">
        <v>540</v>
      </c>
      <c r="C1362" t="s">
        <v>537</v>
      </c>
      <c r="D1362">
        <v>20251231</v>
      </c>
      <c r="E1362">
        <v>0</v>
      </c>
      <c r="F1362" t="s">
        <v>538</v>
      </c>
      <c r="G1362" t="s">
        <v>539</v>
      </c>
      <c r="H1362" t="s">
        <v>539</v>
      </c>
      <c r="I1362">
        <v>20842331000</v>
      </c>
    </row>
    <row r="1363" spans="1:9" x14ac:dyDescent="0.25">
      <c r="A1363" t="s">
        <v>518</v>
      </c>
      <c r="B1363" t="s">
        <v>542</v>
      </c>
      <c r="C1363" t="s">
        <v>537</v>
      </c>
      <c r="D1363">
        <v>20251231</v>
      </c>
      <c r="E1363">
        <v>4</v>
      </c>
      <c r="F1363" t="s">
        <v>538</v>
      </c>
      <c r="G1363" t="s">
        <v>539</v>
      </c>
      <c r="H1363" t="s">
        <v>539</v>
      </c>
      <c r="I1363">
        <v>1.36</v>
      </c>
    </row>
    <row r="1364" spans="1:9" x14ac:dyDescent="0.25">
      <c r="A1364" t="s">
        <v>518</v>
      </c>
      <c r="B1364" t="s">
        <v>541</v>
      </c>
      <c r="C1364" t="s">
        <v>537</v>
      </c>
      <c r="D1364">
        <v>20251231</v>
      </c>
      <c r="E1364">
        <v>4</v>
      </c>
      <c r="F1364" t="s">
        <v>538</v>
      </c>
      <c r="G1364" t="s">
        <v>539</v>
      </c>
      <c r="H1364" t="s">
        <v>539</v>
      </c>
      <c r="I1364">
        <v>159787000</v>
      </c>
    </row>
    <row r="1365" spans="1:9" x14ac:dyDescent="0.25">
      <c r="A1365" t="s">
        <v>520</v>
      </c>
      <c r="B1365" t="s">
        <v>542</v>
      </c>
      <c r="C1365" t="s">
        <v>537</v>
      </c>
      <c r="D1365">
        <v>20251231</v>
      </c>
      <c r="E1365">
        <v>4</v>
      </c>
      <c r="F1365" t="s">
        <v>538</v>
      </c>
      <c r="G1365" t="s">
        <v>539</v>
      </c>
      <c r="H1365" t="s">
        <v>539</v>
      </c>
      <c r="I1365">
        <v>1.18</v>
      </c>
    </row>
    <row r="1366" spans="1:9" x14ac:dyDescent="0.25">
      <c r="A1366" t="s">
        <v>520</v>
      </c>
      <c r="B1366" t="s">
        <v>543</v>
      </c>
      <c r="C1366" t="s">
        <v>537</v>
      </c>
      <c r="D1366">
        <v>20251231</v>
      </c>
      <c r="E1366">
        <v>4</v>
      </c>
      <c r="F1366" t="s">
        <v>538</v>
      </c>
      <c r="G1366" t="s">
        <v>539</v>
      </c>
      <c r="H1366" t="s">
        <v>539</v>
      </c>
      <c r="I1366">
        <v>228973000</v>
      </c>
    </row>
    <row r="1367" spans="1:9" x14ac:dyDescent="0.25">
      <c r="A1367" t="s">
        <v>48</v>
      </c>
      <c r="B1367" t="s">
        <v>536</v>
      </c>
      <c r="C1367" t="s">
        <v>537</v>
      </c>
      <c r="D1367">
        <v>20251231</v>
      </c>
      <c r="E1367">
        <v>0</v>
      </c>
      <c r="F1367" t="s">
        <v>538</v>
      </c>
      <c r="G1367" t="s">
        <v>539</v>
      </c>
      <c r="H1367" t="s">
        <v>539</v>
      </c>
      <c r="I1367">
        <v>9365920000</v>
      </c>
    </row>
    <row r="1368" spans="1:9" x14ac:dyDescent="0.25">
      <c r="A1368" t="s">
        <v>398</v>
      </c>
      <c r="B1368" t="s">
        <v>540</v>
      </c>
      <c r="C1368" t="s">
        <v>537</v>
      </c>
      <c r="D1368">
        <v>20251231</v>
      </c>
      <c r="E1368">
        <v>0</v>
      </c>
      <c r="F1368" t="s">
        <v>538</v>
      </c>
      <c r="G1368" t="s">
        <v>539</v>
      </c>
      <c r="H1368" t="s">
        <v>539</v>
      </c>
      <c r="I1368">
        <v>19132892000</v>
      </c>
    </row>
    <row r="1369" spans="1:9" x14ac:dyDescent="0.25">
      <c r="A1369" t="s">
        <v>220</v>
      </c>
      <c r="B1369" t="s">
        <v>543</v>
      </c>
      <c r="C1369" t="s">
        <v>537</v>
      </c>
      <c r="D1369">
        <v>20251231</v>
      </c>
      <c r="E1369">
        <v>4</v>
      </c>
      <c r="F1369" t="s">
        <v>538</v>
      </c>
      <c r="G1369" t="s">
        <v>539</v>
      </c>
      <c r="H1369" t="s">
        <v>539</v>
      </c>
      <c r="I1369">
        <v>60512000</v>
      </c>
    </row>
    <row r="1370" spans="1:9" x14ac:dyDescent="0.25">
      <c r="A1370" t="s">
        <v>222</v>
      </c>
      <c r="B1370" t="s">
        <v>541</v>
      </c>
      <c r="C1370" t="s">
        <v>537</v>
      </c>
      <c r="D1370">
        <v>20251231</v>
      </c>
      <c r="E1370">
        <v>4</v>
      </c>
      <c r="F1370" t="s">
        <v>538</v>
      </c>
      <c r="G1370" t="s">
        <v>539</v>
      </c>
      <c r="H1370" t="s">
        <v>539</v>
      </c>
      <c r="I1370">
        <v>185710000</v>
      </c>
    </row>
    <row r="1371" spans="1:9" x14ac:dyDescent="0.25">
      <c r="A1371" t="s">
        <v>400</v>
      </c>
      <c r="B1371" t="s">
        <v>543</v>
      </c>
      <c r="C1371" t="s">
        <v>537</v>
      </c>
      <c r="D1371">
        <v>20251231</v>
      </c>
      <c r="E1371">
        <v>4</v>
      </c>
      <c r="F1371" t="s">
        <v>538</v>
      </c>
      <c r="G1371" t="s">
        <v>539</v>
      </c>
      <c r="H1371" t="s">
        <v>539</v>
      </c>
      <c r="I1371">
        <v>1325188000</v>
      </c>
    </row>
    <row r="1372" spans="1:9" x14ac:dyDescent="0.25">
      <c r="A1372" t="s">
        <v>224</v>
      </c>
      <c r="B1372" t="s">
        <v>541</v>
      </c>
      <c r="C1372" t="s">
        <v>537</v>
      </c>
      <c r="D1372">
        <v>20251231</v>
      </c>
      <c r="E1372">
        <v>4</v>
      </c>
      <c r="F1372" t="s">
        <v>538</v>
      </c>
      <c r="G1372" t="s">
        <v>539</v>
      </c>
      <c r="H1372" t="s">
        <v>539</v>
      </c>
      <c r="I1372">
        <v>163212000</v>
      </c>
    </row>
    <row r="1373" spans="1:9" x14ac:dyDescent="0.25">
      <c r="A1373" t="s">
        <v>50</v>
      </c>
      <c r="B1373" t="s">
        <v>543</v>
      </c>
      <c r="C1373" t="s">
        <v>537</v>
      </c>
      <c r="D1373">
        <v>20251231</v>
      </c>
      <c r="E1373">
        <v>4</v>
      </c>
      <c r="F1373" t="s">
        <v>538</v>
      </c>
      <c r="G1373" t="s">
        <v>539</v>
      </c>
      <c r="H1373" t="s">
        <v>539</v>
      </c>
      <c r="I1373">
        <v>42764000</v>
      </c>
    </row>
    <row r="1374" spans="1:9" x14ac:dyDescent="0.25">
      <c r="A1374" t="s">
        <v>226</v>
      </c>
      <c r="B1374" t="s">
        <v>543</v>
      </c>
      <c r="C1374" t="s">
        <v>537</v>
      </c>
      <c r="D1374">
        <v>20251231</v>
      </c>
      <c r="E1374">
        <v>4</v>
      </c>
      <c r="F1374" t="s">
        <v>538</v>
      </c>
      <c r="G1374" t="s">
        <v>539</v>
      </c>
      <c r="H1374" t="s">
        <v>539</v>
      </c>
      <c r="I1374">
        <v>80855000</v>
      </c>
    </row>
    <row r="1375" spans="1:9" x14ac:dyDescent="0.25">
      <c r="A1375" t="s">
        <v>226</v>
      </c>
      <c r="B1375" t="s">
        <v>544</v>
      </c>
      <c r="C1375" t="s">
        <v>537</v>
      </c>
      <c r="D1375">
        <v>20251231</v>
      </c>
      <c r="E1375">
        <v>0</v>
      </c>
      <c r="F1375" t="s">
        <v>538</v>
      </c>
      <c r="G1375" t="s">
        <v>539</v>
      </c>
      <c r="H1375" t="s">
        <v>539</v>
      </c>
      <c r="I1375">
        <v>591535000</v>
      </c>
    </row>
    <row r="1376" spans="1:9" x14ac:dyDescent="0.25">
      <c r="A1376" t="s">
        <v>228</v>
      </c>
      <c r="B1376" t="s">
        <v>540</v>
      </c>
      <c r="C1376" t="s">
        <v>537</v>
      </c>
      <c r="D1376">
        <v>20251231</v>
      </c>
      <c r="E1376">
        <v>0</v>
      </c>
      <c r="F1376" t="s">
        <v>538</v>
      </c>
      <c r="G1376" t="s">
        <v>539</v>
      </c>
      <c r="H1376" t="s">
        <v>539</v>
      </c>
      <c r="I1376">
        <v>2710235000</v>
      </c>
    </row>
    <row r="1377" spans="1:9" x14ac:dyDescent="0.25">
      <c r="A1377" t="s">
        <v>232</v>
      </c>
      <c r="B1377" t="s">
        <v>540</v>
      </c>
      <c r="C1377" t="s">
        <v>537</v>
      </c>
      <c r="D1377">
        <v>20251231</v>
      </c>
      <c r="E1377">
        <v>0</v>
      </c>
      <c r="F1377" t="s">
        <v>538</v>
      </c>
      <c r="G1377" t="s">
        <v>539</v>
      </c>
      <c r="H1377" t="s">
        <v>539</v>
      </c>
      <c r="I1377">
        <v>1525790540</v>
      </c>
    </row>
    <row r="1378" spans="1:9" x14ac:dyDescent="0.25">
      <c r="A1378" t="s">
        <v>232</v>
      </c>
      <c r="B1378" t="s">
        <v>541</v>
      </c>
      <c r="C1378" t="s">
        <v>537</v>
      </c>
      <c r="D1378">
        <v>20251231</v>
      </c>
      <c r="E1378">
        <v>4</v>
      </c>
      <c r="F1378" t="s">
        <v>538</v>
      </c>
      <c r="G1378" t="s">
        <v>539</v>
      </c>
      <c r="H1378" t="s">
        <v>539</v>
      </c>
      <c r="I1378">
        <v>85907554</v>
      </c>
    </row>
    <row r="1379" spans="1:9" x14ac:dyDescent="0.25">
      <c r="A1379" t="s">
        <v>232</v>
      </c>
      <c r="B1379" t="s">
        <v>544</v>
      </c>
      <c r="C1379" t="s">
        <v>537</v>
      </c>
      <c r="D1379">
        <v>20251231</v>
      </c>
      <c r="E1379">
        <v>0</v>
      </c>
      <c r="F1379" t="s">
        <v>538</v>
      </c>
      <c r="G1379" t="s">
        <v>539</v>
      </c>
      <c r="H1379" t="s">
        <v>539</v>
      </c>
      <c r="I1379">
        <v>145781100</v>
      </c>
    </row>
    <row r="1380" spans="1:9" x14ac:dyDescent="0.25">
      <c r="A1380" t="s">
        <v>234</v>
      </c>
      <c r="B1380" t="s">
        <v>541</v>
      </c>
      <c r="C1380" t="s">
        <v>537</v>
      </c>
      <c r="D1380">
        <v>20251231</v>
      </c>
      <c r="E1380">
        <v>4</v>
      </c>
      <c r="F1380" t="s">
        <v>538</v>
      </c>
      <c r="G1380" t="s">
        <v>539</v>
      </c>
      <c r="H1380" t="s">
        <v>539</v>
      </c>
      <c r="I1380">
        <v>989948000</v>
      </c>
    </row>
    <row r="1381" spans="1:9" x14ac:dyDescent="0.25">
      <c r="A1381" t="s">
        <v>266</v>
      </c>
      <c r="B1381" t="s">
        <v>542</v>
      </c>
      <c r="C1381" t="s">
        <v>537</v>
      </c>
      <c r="D1381">
        <v>20251231</v>
      </c>
      <c r="E1381">
        <v>4</v>
      </c>
      <c r="F1381" t="s">
        <v>538</v>
      </c>
      <c r="G1381" t="s">
        <v>539</v>
      </c>
      <c r="H1381" t="s">
        <v>539</v>
      </c>
      <c r="I1381">
        <v>-0.17</v>
      </c>
    </row>
    <row r="1382" spans="1:9" x14ac:dyDescent="0.25">
      <c r="A1382" t="s">
        <v>266</v>
      </c>
      <c r="B1382" t="s">
        <v>536</v>
      </c>
      <c r="C1382" t="s">
        <v>537</v>
      </c>
      <c r="D1382">
        <v>20251231</v>
      </c>
      <c r="E1382">
        <v>0</v>
      </c>
      <c r="F1382" t="s">
        <v>538</v>
      </c>
      <c r="G1382" t="s">
        <v>539</v>
      </c>
      <c r="H1382" t="s">
        <v>539</v>
      </c>
      <c r="I1382">
        <v>993160000</v>
      </c>
    </row>
    <row r="1383" spans="1:9" x14ac:dyDescent="0.25">
      <c r="A1383" t="s">
        <v>404</v>
      </c>
      <c r="B1383" t="s">
        <v>540</v>
      </c>
      <c r="C1383" t="s">
        <v>537</v>
      </c>
      <c r="D1383">
        <v>20251231</v>
      </c>
      <c r="E1383">
        <v>0</v>
      </c>
      <c r="F1383" t="s">
        <v>538</v>
      </c>
      <c r="G1383" t="s">
        <v>539</v>
      </c>
      <c r="H1383" t="s">
        <v>539</v>
      </c>
      <c r="I1383">
        <v>15844994000</v>
      </c>
    </row>
    <row r="1384" spans="1:9" x14ac:dyDescent="0.25">
      <c r="A1384" t="s">
        <v>404</v>
      </c>
      <c r="B1384" t="s">
        <v>543</v>
      </c>
      <c r="C1384" t="s">
        <v>537</v>
      </c>
      <c r="D1384">
        <v>20251231</v>
      </c>
      <c r="E1384">
        <v>4</v>
      </c>
      <c r="F1384" t="s">
        <v>538</v>
      </c>
      <c r="G1384" t="s">
        <v>539</v>
      </c>
      <c r="H1384" t="s">
        <v>539</v>
      </c>
      <c r="I1384">
        <v>165591000</v>
      </c>
    </row>
    <row r="1385" spans="1:9" x14ac:dyDescent="0.25">
      <c r="A1385" t="s">
        <v>522</v>
      </c>
      <c r="B1385" t="s">
        <v>540</v>
      </c>
      <c r="C1385" t="s">
        <v>537</v>
      </c>
      <c r="D1385">
        <v>20251231</v>
      </c>
      <c r="E1385">
        <v>0</v>
      </c>
      <c r="F1385" t="s">
        <v>538</v>
      </c>
      <c r="G1385" t="s">
        <v>539</v>
      </c>
      <c r="H1385" t="s">
        <v>539</v>
      </c>
      <c r="I1385">
        <v>16300292000</v>
      </c>
    </row>
    <row r="1386" spans="1:9" x14ac:dyDescent="0.25">
      <c r="A1386" t="s">
        <v>406</v>
      </c>
      <c r="B1386" t="s">
        <v>540</v>
      </c>
      <c r="C1386" t="s">
        <v>537</v>
      </c>
      <c r="D1386">
        <v>20251231</v>
      </c>
      <c r="E1386">
        <v>0</v>
      </c>
      <c r="F1386" t="s">
        <v>538</v>
      </c>
      <c r="G1386" t="s">
        <v>539</v>
      </c>
      <c r="H1386" t="s">
        <v>539</v>
      </c>
      <c r="I1386">
        <v>67197412000</v>
      </c>
    </row>
    <row r="1387" spans="1:9" x14ac:dyDescent="0.25">
      <c r="A1387" t="s">
        <v>238</v>
      </c>
      <c r="B1387" t="s">
        <v>541</v>
      </c>
      <c r="C1387" t="s">
        <v>537</v>
      </c>
      <c r="D1387">
        <v>20251231</v>
      </c>
      <c r="E1387">
        <v>4</v>
      </c>
      <c r="F1387" t="s">
        <v>538</v>
      </c>
      <c r="G1387" t="s">
        <v>539</v>
      </c>
      <c r="H1387" t="s">
        <v>539</v>
      </c>
      <c r="I1387">
        <v>83618000</v>
      </c>
    </row>
    <row r="1388" spans="1:9" x14ac:dyDescent="0.25">
      <c r="A1388" t="s">
        <v>410</v>
      </c>
      <c r="B1388" t="s">
        <v>541</v>
      </c>
      <c r="C1388" t="s">
        <v>537</v>
      </c>
      <c r="D1388">
        <v>20251231</v>
      </c>
      <c r="E1388">
        <v>4</v>
      </c>
      <c r="F1388" t="s">
        <v>538</v>
      </c>
      <c r="G1388" t="s">
        <v>539</v>
      </c>
      <c r="H1388" t="s">
        <v>539</v>
      </c>
      <c r="I1388">
        <v>519774000</v>
      </c>
    </row>
    <row r="1389" spans="1:9" x14ac:dyDescent="0.25">
      <c r="A1389" t="s">
        <v>414</v>
      </c>
      <c r="B1389" t="s">
        <v>536</v>
      </c>
      <c r="C1389" t="s">
        <v>546</v>
      </c>
      <c r="D1389">
        <v>20251231</v>
      </c>
      <c r="E1389">
        <v>0</v>
      </c>
      <c r="F1389" t="s">
        <v>538</v>
      </c>
      <c r="G1389" t="s">
        <v>539</v>
      </c>
      <c r="H1389" t="s">
        <v>539</v>
      </c>
      <c r="I1389">
        <v>6005907000</v>
      </c>
    </row>
    <row r="1390" spans="1:9" x14ac:dyDescent="0.25">
      <c r="A1390" t="s">
        <v>416</v>
      </c>
      <c r="B1390" t="s">
        <v>541</v>
      </c>
      <c r="C1390" t="s">
        <v>537</v>
      </c>
      <c r="D1390">
        <v>20251231</v>
      </c>
      <c r="E1390">
        <v>4</v>
      </c>
      <c r="F1390" t="s">
        <v>538</v>
      </c>
      <c r="G1390" t="s">
        <v>539</v>
      </c>
      <c r="H1390" t="s">
        <v>539</v>
      </c>
      <c r="I1390">
        <v>886274000</v>
      </c>
    </row>
    <row r="1391" spans="1:9" x14ac:dyDescent="0.25">
      <c r="A1391" t="s">
        <v>420</v>
      </c>
      <c r="B1391" t="s">
        <v>542</v>
      </c>
      <c r="C1391" t="s">
        <v>537</v>
      </c>
      <c r="D1391">
        <v>20251231</v>
      </c>
      <c r="E1391">
        <v>4</v>
      </c>
      <c r="F1391" t="s">
        <v>538</v>
      </c>
      <c r="G1391" t="s">
        <v>539</v>
      </c>
      <c r="H1391" t="s">
        <v>539</v>
      </c>
      <c r="I1391">
        <v>7.54</v>
      </c>
    </row>
    <row r="1392" spans="1:9" x14ac:dyDescent="0.25">
      <c r="A1392" t="s">
        <v>422</v>
      </c>
      <c r="B1392" t="s">
        <v>542</v>
      </c>
      <c r="C1392" t="s">
        <v>537</v>
      </c>
      <c r="D1392">
        <v>20251231</v>
      </c>
      <c r="E1392">
        <v>4</v>
      </c>
      <c r="F1392" t="s">
        <v>538</v>
      </c>
      <c r="G1392" t="s">
        <v>539</v>
      </c>
      <c r="H1392" t="s">
        <v>539</v>
      </c>
      <c r="I1392">
        <v>2.21</v>
      </c>
    </row>
    <row r="1393" spans="1:9" x14ac:dyDescent="0.25">
      <c r="A1393" t="s">
        <v>428</v>
      </c>
      <c r="B1393" t="s">
        <v>542</v>
      </c>
      <c r="C1393" t="s">
        <v>537</v>
      </c>
      <c r="D1393">
        <v>20251231</v>
      </c>
      <c r="E1393">
        <v>4</v>
      </c>
      <c r="F1393" t="s">
        <v>538</v>
      </c>
      <c r="G1393" t="s">
        <v>539</v>
      </c>
      <c r="H1393" t="s">
        <v>539</v>
      </c>
      <c r="I1393">
        <v>3.98</v>
      </c>
    </row>
    <row r="1394" spans="1:9" x14ac:dyDescent="0.25">
      <c r="A1394" t="s">
        <v>52</v>
      </c>
      <c r="B1394" t="s">
        <v>543</v>
      </c>
      <c r="C1394" t="s">
        <v>537</v>
      </c>
      <c r="D1394">
        <v>20251231</v>
      </c>
      <c r="E1394">
        <v>4</v>
      </c>
      <c r="F1394" t="s">
        <v>538</v>
      </c>
      <c r="G1394" t="s">
        <v>539</v>
      </c>
      <c r="H1394" t="s">
        <v>539</v>
      </c>
      <c r="I1394">
        <v>131317000</v>
      </c>
    </row>
    <row r="1395" spans="1:9" x14ac:dyDescent="0.25">
      <c r="A1395" t="s">
        <v>246</v>
      </c>
      <c r="B1395" t="s">
        <v>542</v>
      </c>
      <c r="C1395" t="s">
        <v>537</v>
      </c>
      <c r="D1395">
        <v>20251231</v>
      </c>
      <c r="E1395">
        <v>4</v>
      </c>
      <c r="F1395" t="s">
        <v>538</v>
      </c>
      <c r="G1395" t="s">
        <v>539</v>
      </c>
      <c r="H1395" t="s">
        <v>539</v>
      </c>
      <c r="I1395">
        <v>3.52</v>
      </c>
    </row>
    <row r="1396" spans="1:9" x14ac:dyDescent="0.25">
      <c r="A1396" t="s">
        <v>246</v>
      </c>
      <c r="B1396" t="s">
        <v>536</v>
      </c>
      <c r="C1396" t="s">
        <v>537</v>
      </c>
      <c r="D1396">
        <v>20251231</v>
      </c>
      <c r="E1396">
        <v>0</v>
      </c>
      <c r="F1396" t="s">
        <v>538</v>
      </c>
      <c r="G1396" t="s">
        <v>539</v>
      </c>
      <c r="H1396" t="s">
        <v>539</v>
      </c>
      <c r="I1396">
        <v>7331806000</v>
      </c>
    </row>
    <row r="1397" spans="1:9" x14ac:dyDescent="0.25">
      <c r="A1397" t="s">
        <v>248</v>
      </c>
      <c r="B1397" t="s">
        <v>540</v>
      </c>
      <c r="C1397" t="s">
        <v>537</v>
      </c>
      <c r="D1397">
        <v>20251231</v>
      </c>
      <c r="E1397">
        <v>0</v>
      </c>
      <c r="F1397" t="s">
        <v>538</v>
      </c>
      <c r="G1397" t="s">
        <v>539</v>
      </c>
      <c r="H1397" t="s">
        <v>539</v>
      </c>
      <c r="I1397">
        <v>2650226000</v>
      </c>
    </row>
    <row r="1398" spans="1:9" x14ac:dyDescent="0.25">
      <c r="A1398" t="s">
        <v>250</v>
      </c>
      <c r="B1398" t="s">
        <v>544</v>
      </c>
      <c r="C1398" t="s">
        <v>546</v>
      </c>
      <c r="D1398">
        <v>20251231</v>
      </c>
      <c r="E1398">
        <v>0</v>
      </c>
      <c r="F1398" t="s">
        <v>538</v>
      </c>
      <c r="G1398" t="s">
        <v>539</v>
      </c>
      <c r="H1398" t="s">
        <v>539</v>
      </c>
      <c r="I1398">
        <v>338554000</v>
      </c>
    </row>
    <row r="1399" spans="1:9" x14ac:dyDescent="0.25">
      <c r="A1399" t="s">
        <v>64</v>
      </c>
      <c r="B1399" t="s">
        <v>541</v>
      </c>
      <c r="C1399" t="s">
        <v>537</v>
      </c>
      <c r="D1399">
        <v>20251231</v>
      </c>
      <c r="E1399">
        <v>4</v>
      </c>
      <c r="F1399" t="s">
        <v>538</v>
      </c>
      <c r="G1399" t="s">
        <v>539</v>
      </c>
      <c r="H1399" t="s">
        <v>539</v>
      </c>
      <c r="I1399">
        <v>113257000</v>
      </c>
    </row>
    <row r="1400" spans="1:9" x14ac:dyDescent="0.25">
      <c r="A1400" t="s">
        <v>66</v>
      </c>
      <c r="B1400" t="s">
        <v>540</v>
      </c>
      <c r="C1400" t="s">
        <v>537</v>
      </c>
      <c r="D1400">
        <v>20251231</v>
      </c>
      <c r="E1400">
        <v>0</v>
      </c>
      <c r="F1400" t="s">
        <v>538</v>
      </c>
      <c r="G1400" t="s">
        <v>539</v>
      </c>
      <c r="H1400" t="s">
        <v>539</v>
      </c>
      <c r="I1400">
        <v>2383096000</v>
      </c>
    </row>
    <row r="1401" spans="1:9" x14ac:dyDescent="0.25">
      <c r="A1401" t="s">
        <v>66</v>
      </c>
      <c r="B1401" t="s">
        <v>542</v>
      </c>
      <c r="C1401" t="s">
        <v>537</v>
      </c>
      <c r="D1401">
        <v>20251231</v>
      </c>
      <c r="E1401">
        <v>4</v>
      </c>
      <c r="F1401" t="s">
        <v>538</v>
      </c>
      <c r="G1401" t="s">
        <v>539</v>
      </c>
      <c r="H1401" t="s">
        <v>539</v>
      </c>
      <c r="I1401">
        <v>1.01</v>
      </c>
    </row>
    <row r="1402" spans="1:9" x14ac:dyDescent="0.25">
      <c r="A1402" t="s">
        <v>66</v>
      </c>
      <c r="B1402" t="s">
        <v>541</v>
      </c>
      <c r="C1402" t="s">
        <v>537</v>
      </c>
      <c r="D1402">
        <v>20251231</v>
      </c>
      <c r="E1402">
        <v>4</v>
      </c>
      <c r="F1402" t="s">
        <v>538</v>
      </c>
      <c r="G1402" t="s">
        <v>539</v>
      </c>
      <c r="H1402" t="s">
        <v>539</v>
      </c>
      <c r="I1402">
        <v>130479000</v>
      </c>
    </row>
    <row r="1403" spans="1:9" x14ac:dyDescent="0.25">
      <c r="A1403" t="s">
        <v>68</v>
      </c>
      <c r="B1403" t="s">
        <v>543</v>
      </c>
      <c r="C1403" t="s">
        <v>537</v>
      </c>
      <c r="D1403">
        <v>20251231</v>
      </c>
      <c r="E1403">
        <v>4</v>
      </c>
      <c r="F1403" t="s">
        <v>538</v>
      </c>
      <c r="G1403" t="s">
        <v>539</v>
      </c>
      <c r="H1403" t="s">
        <v>539</v>
      </c>
      <c r="I1403">
        <v>59187000</v>
      </c>
    </row>
    <row r="1404" spans="1:9" x14ac:dyDescent="0.25">
      <c r="A1404" t="s">
        <v>70</v>
      </c>
      <c r="B1404" t="s">
        <v>540</v>
      </c>
      <c r="C1404" t="s">
        <v>537</v>
      </c>
      <c r="D1404">
        <v>20251231</v>
      </c>
      <c r="E1404">
        <v>0</v>
      </c>
      <c r="F1404" t="s">
        <v>538</v>
      </c>
      <c r="G1404" t="s">
        <v>539</v>
      </c>
      <c r="H1404" t="s">
        <v>539</v>
      </c>
      <c r="I1404">
        <v>2659377000</v>
      </c>
    </row>
    <row r="1405" spans="1:9" x14ac:dyDescent="0.25">
      <c r="A1405" t="s">
        <v>252</v>
      </c>
      <c r="B1405" t="s">
        <v>543</v>
      </c>
      <c r="C1405" t="s">
        <v>537</v>
      </c>
      <c r="D1405">
        <v>20251231</v>
      </c>
      <c r="E1405">
        <v>4</v>
      </c>
      <c r="F1405" t="s">
        <v>538</v>
      </c>
      <c r="G1405" t="s">
        <v>539</v>
      </c>
      <c r="H1405" t="s">
        <v>539</v>
      </c>
      <c r="I1405">
        <v>68532000</v>
      </c>
    </row>
    <row r="1406" spans="1:9" x14ac:dyDescent="0.25">
      <c r="A1406" t="s">
        <v>76</v>
      </c>
      <c r="B1406" t="s">
        <v>542</v>
      </c>
      <c r="C1406" t="s">
        <v>537</v>
      </c>
      <c r="D1406">
        <v>20251231</v>
      </c>
      <c r="E1406">
        <v>4</v>
      </c>
      <c r="F1406" t="s">
        <v>538</v>
      </c>
      <c r="G1406" t="s">
        <v>539</v>
      </c>
      <c r="H1406" t="s">
        <v>539</v>
      </c>
      <c r="I1406">
        <v>2.4900000000000002</v>
      </c>
    </row>
    <row r="1407" spans="1:9" x14ac:dyDescent="0.25">
      <c r="A1407" t="s">
        <v>76</v>
      </c>
      <c r="B1407" t="s">
        <v>544</v>
      </c>
      <c r="C1407" t="s">
        <v>537</v>
      </c>
      <c r="D1407">
        <v>20251231</v>
      </c>
      <c r="E1407">
        <v>0</v>
      </c>
      <c r="F1407" t="s">
        <v>538</v>
      </c>
      <c r="G1407" t="s">
        <v>539</v>
      </c>
      <c r="H1407" t="s">
        <v>539</v>
      </c>
      <c r="I1407">
        <v>422896000</v>
      </c>
    </row>
    <row r="1408" spans="1:9" x14ac:dyDescent="0.25">
      <c r="A1408" t="s">
        <v>254</v>
      </c>
      <c r="B1408" t="s">
        <v>536</v>
      </c>
      <c r="C1408" t="s">
        <v>537</v>
      </c>
      <c r="D1408">
        <v>20251231</v>
      </c>
      <c r="E1408">
        <v>0</v>
      </c>
      <c r="F1408" t="s">
        <v>538</v>
      </c>
      <c r="G1408" t="s">
        <v>539</v>
      </c>
      <c r="H1408" t="s">
        <v>539</v>
      </c>
      <c r="I1408">
        <v>2362279000</v>
      </c>
    </row>
    <row r="1409" spans="1:9" x14ac:dyDescent="0.25">
      <c r="A1409" t="s">
        <v>78</v>
      </c>
      <c r="B1409" t="s">
        <v>544</v>
      </c>
      <c r="C1409" t="s">
        <v>546</v>
      </c>
      <c r="D1409">
        <v>20251231</v>
      </c>
      <c r="E1409">
        <v>0</v>
      </c>
      <c r="F1409" t="s">
        <v>538</v>
      </c>
      <c r="G1409" t="s">
        <v>539</v>
      </c>
      <c r="H1409" t="s">
        <v>539</v>
      </c>
      <c r="I1409">
        <v>100667000</v>
      </c>
    </row>
    <row r="1410" spans="1:9" x14ac:dyDescent="0.25">
      <c r="A1410" t="s">
        <v>82</v>
      </c>
      <c r="B1410" t="s">
        <v>541</v>
      </c>
      <c r="C1410" t="s">
        <v>537</v>
      </c>
      <c r="D1410">
        <v>20251231</v>
      </c>
      <c r="E1410">
        <v>4</v>
      </c>
      <c r="F1410" t="s">
        <v>538</v>
      </c>
      <c r="G1410" t="s">
        <v>539</v>
      </c>
      <c r="H1410" t="s">
        <v>539</v>
      </c>
      <c r="I1410">
        <v>71354000</v>
      </c>
    </row>
    <row r="1411" spans="1:9" x14ac:dyDescent="0.25">
      <c r="A1411" t="s">
        <v>86</v>
      </c>
      <c r="B1411" t="s">
        <v>544</v>
      </c>
      <c r="C1411" t="s">
        <v>537</v>
      </c>
      <c r="D1411">
        <v>20251231</v>
      </c>
      <c r="E1411">
        <v>0</v>
      </c>
      <c r="F1411" t="s">
        <v>538</v>
      </c>
      <c r="G1411" t="s">
        <v>539</v>
      </c>
      <c r="H1411" t="s">
        <v>539</v>
      </c>
      <c r="I1411">
        <v>32751000</v>
      </c>
    </row>
    <row r="1412" spans="1:9" x14ac:dyDescent="0.25">
      <c r="A1412" t="s">
        <v>260</v>
      </c>
      <c r="B1412" t="s">
        <v>544</v>
      </c>
      <c r="C1412" t="s">
        <v>537</v>
      </c>
      <c r="D1412">
        <v>20251231</v>
      </c>
      <c r="E1412">
        <v>0</v>
      </c>
      <c r="F1412" t="s">
        <v>538</v>
      </c>
      <c r="G1412" t="s">
        <v>539</v>
      </c>
      <c r="H1412" t="s">
        <v>539</v>
      </c>
      <c r="I1412">
        <v>419697000</v>
      </c>
    </row>
    <row r="1413" spans="1:9" x14ac:dyDescent="0.25">
      <c r="A1413" t="s">
        <v>432</v>
      </c>
      <c r="B1413" t="s">
        <v>541</v>
      </c>
      <c r="C1413" t="s">
        <v>537</v>
      </c>
      <c r="D1413">
        <v>20251231</v>
      </c>
      <c r="E1413">
        <v>4</v>
      </c>
      <c r="F1413" t="s">
        <v>538</v>
      </c>
      <c r="G1413" t="s">
        <v>539</v>
      </c>
      <c r="H1413" t="s">
        <v>539</v>
      </c>
      <c r="I1413">
        <v>345719000</v>
      </c>
    </row>
    <row r="1414" spans="1:9" x14ac:dyDescent="0.25">
      <c r="A1414" t="s">
        <v>90</v>
      </c>
      <c r="B1414" t="s">
        <v>543</v>
      </c>
      <c r="C1414" t="s">
        <v>537</v>
      </c>
      <c r="D1414">
        <v>20251231</v>
      </c>
      <c r="E1414">
        <v>4</v>
      </c>
      <c r="F1414" t="s">
        <v>538</v>
      </c>
      <c r="G1414" t="s">
        <v>539</v>
      </c>
      <c r="H1414" t="s">
        <v>539</v>
      </c>
      <c r="I1414">
        <v>58471000</v>
      </c>
    </row>
    <row r="1415" spans="1:9" x14ac:dyDescent="0.25">
      <c r="A1415" t="s">
        <v>90</v>
      </c>
      <c r="B1415" t="s">
        <v>544</v>
      </c>
      <c r="C1415" t="s">
        <v>537</v>
      </c>
      <c r="D1415">
        <v>20251231</v>
      </c>
      <c r="E1415">
        <v>0</v>
      </c>
      <c r="F1415" t="s">
        <v>538</v>
      </c>
      <c r="G1415" t="s">
        <v>539</v>
      </c>
      <c r="H1415" t="s">
        <v>539</v>
      </c>
      <c r="I1415">
        <v>493837000</v>
      </c>
    </row>
    <row r="1416" spans="1:9" x14ac:dyDescent="0.25">
      <c r="A1416" t="s">
        <v>92</v>
      </c>
      <c r="B1416" t="s">
        <v>543</v>
      </c>
      <c r="C1416" t="s">
        <v>537</v>
      </c>
      <c r="D1416">
        <v>20251231</v>
      </c>
      <c r="E1416">
        <v>4</v>
      </c>
      <c r="F1416" t="s">
        <v>538</v>
      </c>
      <c r="G1416" t="s">
        <v>539</v>
      </c>
      <c r="H1416" t="s">
        <v>539</v>
      </c>
      <c r="I1416">
        <v>36572000</v>
      </c>
    </row>
    <row r="1417" spans="1:9" x14ac:dyDescent="0.25">
      <c r="A1417" t="s">
        <v>94</v>
      </c>
      <c r="B1417" t="s">
        <v>543</v>
      </c>
      <c r="C1417" t="s">
        <v>537</v>
      </c>
      <c r="D1417">
        <v>20251231</v>
      </c>
      <c r="E1417">
        <v>4</v>
      </c>
      <c r="F1417" t="s">
        <v>538</v>
      </c>
      <c r="G1417" t="s">
        <v>539</v>
      </c>
      <c r="H1417" t="s">
        <v>539</v>
      </c>
      <c r="I1417">
        <v>15601000</v>
      </c>
    </row>
    <row r="1418" spans="1:9" x14ac:dyDescent="0.25">
      <c r="A1418" t="s">
        <v>438</v>
      </c>
      <c r="B1418" t="s">
        <v>544</v>
      </c>
      <c r="C1418" t="s">
        <v>537</v>
      </c>
      <c r="D1418">
        <v>20251231</v>
      </c>
      <c r="E1418">
        <v>0</v>
      </c>
      <c r="F1418" t="s">
        <v>538</v>
      </c>
      <c r="G1418" t="s">
        <v>539</v>
      </c>
      <c r="H1418" t="s">
        <v>539</v>
      </c>
      <c r="I1418">
        <v>1849847000</v>
      </c>
    </row>
    <row r="1419" spans="1:9" x14ac:dyDescent="0.25">
      <c r="A1419" t="s">
        <v>442</v>
      </c>
      <c r="B1419" t="s">
        <v>536</v>
      </c>
      <c r="C1419" t="s">
        <v>537</v>
      </c>
      <c r="D1419">
        <v>20251231</v>
      </c>
      <c r="E1419">
        <v>0</v>
      </c>
      <c r="F1419" t="s">
        <v>538</v>
      </c>
      <c r="G1419" t="s">
        <v>539</v>
      </c>
      <c r="H1419" t="s">
        <v>539</v>
      </c>
      <c r="I1419">
        <v>7927445000</v>
      </c>
    </row>
    <row r="1420" spans="1:9" x14ac:dyDescent="0.25">
      <c r="A1420" t="s">
        <v>104</v>
      </c>
      <c r="B1420" t="s">
        <v>536</v>
      </c>
      <c r="C1420" t="s">
        <v>537</v>
      </c>
      <c r="D1420">
        <v>20251231</v>
      </c>
      <c r="E1420">
        <v>0</v>
      </c>
      <c r="F1420" t="s">
        <v>538</v>
      </c>
      <c r="G1420" t="s">
        <v>539</v>
      </c>
      <c r="H1420" t="s">
        <v>539</v>
      </c>
      <c r="I1420">
        <v>2096673000</v>
      </c>
    </row>
    <row r="1421" spans="1:9" x14ac:dyDescent="0.25">
      <c r="A1421" t="s">
        <v>268</v>
      </c>
      <c r="B1421" t="s">
        <v>541</v>
      </c>
      <c r="C1421" t="s">
        <v>537</v>
      </c>
      <c r="D1421">
        <v>20251231</v>
      </c>
      <c r="E1421">
        <v>4</v>
      </c>
      <c r="F1421" t="s">
        <v>538</v>
      </c>
      <c r="G1421" t="s">
        <v>539</v>
      </c>
      <c r="H1421" t="s">
        <v>539</v>
      </c>
      <c r="I1421">
        <v>48587000</v>
      </c>
    </row>
    <row r="1422" spans="1:9" x14ac:dyDescent="0.25">
      <c r="A1422" t="s">
        <v>526</v>
      </c>
      <c r="B1422" t="s">
        <v>542</v>
      </c>
      <c r="C1422" t="s">
        <v>537</v>
      </c>
      <c r="D1422">
        <v>20251231</v>
      </c>
      <c r="E1422">
        <v>4</v>
      </c>
      <c r="F1422" t="s">
        <v>538</v>
      </c>
      <c r="G1422" t="s">
        <v>539</v>
      </c>
      <c r="H1422" t="s">
        <v>539</v>
      </c>
      <c r="I1422">
        <v>7.76</v>
      </c>
    </row>
    <row r="1423" spans="1:9" x14ac:dyDescent="0.25">
      <c r="A1423" t="s">
        <v>526</v>
      </c>
      <c r="B1423" t="s">
        <v>536</v>
      </c>
      <c r="C1423" t="s">
        <v>537</v>
      </c>
      <c r="D1423">
        <v>20251231</v>
      </c>
      <c r="E1423">
        <v>0</v>
      </c>
      <c r="F1423" t="s">
        <v>538</v>
      </c>
      <c r="G1423" t="s">
        <v>539</v>
      </c>
      <c r="H1423" t="s">
        <v>539</v>
      </c>
      <c r="I1423">
        <v>7065977000</v>
      </c>
    </row>
    <row r="1424" spans="1:9" x14ac:dyDescent="0.25">
      <c r="A1424" t="s">
        <v>444</v>
      </c>
      <c r="B1424" t="s">
        <v>540</v>
      </c>
      <c r="C1424" t="s">
        <v>537</v>
      </c>
      <c r="D1424">
        <v>20251231</v>
      </c>
      <c r="E1424">
        <v>0</v>
      </c>
      <c r="F1424" t="s">
        <v>538</v>
      </c>
      <c r="G1424" t="s">
        <v>539</v>
      </c>
      <c r="H1424" t="s">
        <v>539</v>
      </c>
      <c r="I1424">
        <v>18925211000</v>
      </c>
    </row>
    <row r="1425" spans="1:9" x14ac:dyDescent="0.25">
      <c r="A1425" t="s">
        <v>444</v>
      </c>
      <c r="B1425" t="s">
        <v>544</v>
      </c>
      <c r="C1425" t="s">
        <v>537</v>
      </c>
      <c r="D1425">
        <v>20251231</v>
      </c>
      <c r="E1425">
        <v>0</v>
      </c>
      <c r="F1425" t="s">
        <v>538</v>
      </c>
      <c r="G1425" t="s">
        <v>539</v>
      </c>
      <c r="H1425" t="s">
        <v>539</v>
      </c>
      <c r="I1425">
        <v>2121677000</v>
      </c>
    </row>
    <row r="1426" spans="1:9" x14ac:dyDescent="0.25">
      <c r="A1426" t="s">
        <v>446</v>
      </c>
      <c r="B1426" t="s">
        <v>542</v>
      </c>
      <c r="C1426" t="s">
        <v>537</v>
      </c>
      <c r="D1426">
        <v>20251231</v>
      </c>
      <c r="E1426">
        <v>4</v>
      </c>
      <c r="F1426" t="s">
        <v>538</v>
      </c>
      <c r="G1426" t="s">
        <v>539</v>
      </c>
      <c r="H1426" t="s">
        <v>539</v>
      </c>
      <c r="I1426">
        <v>5.94</v>
      </c>
    </row>
    <row r="1427" spans="1:9" x14ac:dyDescent="0.25">
      <c r="A1427" t="s">
        <v>446</v>
      </c>
      <c r="B1427" t="s">
        <v>543</v>
      </c>
      <c r="C1427" t="s">
        <v>537</v>
      </c>
      <c r="D1427">
        <v>20251231</v>
      </c>
      <c r="E1427">
        <v>4</v>
      </c>
      <c r="F1427" t="s">
        <v>538</v>
      </c>
      <c r="G1427" t="s">
        <v>539</v>
      </c>
      <c r="H1427" t="s">
        <v>539</v>
      </c>
      <c r="I1427">
        <v>50319000</v>
      </c>
    </row>
    <row r="1428" spans="1:9" x14ac:dyDescent="0.25">
      <c r="A1428" t="s">
        <v>446</v>
      </c>
      <c r="B1428" t="s">
        <v>544</v>
      </c>
      <c r="C1428" t="s">
        <v>537</v>
      </c>
      <c r="D1428">
        <v>20251231</v>
      </c>
      <c r="E1428">
        <v>0</v>
      </c>
      <c r="F1428" t="s">
        <v>538</v>
      </c>
      <c r="G1428" t="s">
        <v>539</v>
      </c>
      <c r="H1428" t="s">
        <v>539</v>
      </c>
      <c r="I1428">
        <v>371585000</v>
      </c>
    </row>
    <row r="1429" spans="1:9" x14ac:dyDescent="0.25">
      <c r="A1429" t="s">
        <v>452</v>
      </c>
      <c r="B1429" t="s">
        <v>541</v>
      </c>
      <c r="C1429" t="s">
        <v>537</v>
      </c>
      <c r="D1429">
        <v>20251231</v>
      </c>
      <c r="E1429">
        <v>4</v>
      </c>
      <c r="F1429" t="s">
        <v>538</v>
      </c>
      <c r="G1429" t="s">
        <v>539</v>
      </c>
      <c r="H1429" t="s">
        <v>539</v>
      </c>
      <c r="I1429">
        <v>3354280000</v>
      </c>
    </row>
    <row r="1430" spans="1:9" x14ac:dyDescent="0.25">
      <c r="A1430" t="s">
        <v>452</v>
      </c>
      <c r="B1430" t="s">
        <v>543</v>
      </c>
      <c r="C1430" t="s">
        <v>537</v>
      </c>
      <c r="D1430">
        <v>20251231</v>
      </c>
      <c r="E1430">
        <v>4</v>
      </c>
      <c r="F1430" t="s">
        <v>538</v>
      </c>
      <c r="G1430" t="s">
        <v>539</v>
      </c>
      <c r="H1430" t="s">
        <v>539</v>
      </c>
      <c r="I1430">
        <v>702398000</v>
      </c>
    </row>
    <row r="1431" spans="1:9" x14ac:dyDescent="0.25">
      <c r="A1431" t="s">
        <v>454</v>
      </c>
      <c r="B1431" t="s">
        <v>544</v>
      </c>
      <c r="C1431" t="s">
        <v>537</v>
      </c>
      <c r="D1431">
        <v>20251231</v>
      </c>
      <c r="E1431">
        <v>0</v>
      </c>
      <c r="F1431" t="s">
        <v>538</v>
      </c>
      <c r="G1431" t="s">
        <v>539</v>
      </c>
      <c r="H1431" t="s">
        <v>539</v>
      </c>
      <c r="I1431">
        <v>7616140000</v>
      </c>
    </row>
    <row r="1432" spans="1:9" x14ac:dyDescent="0.25">
      <c r="A1432" t="s">
        <v>456</v>
      </c>
      <c r="B1432" t="s">
        <v>543</v>
      </c>
      <c r="C1432" t="s">
        <v>537</v>
      </c>
      <c r="D1432">
        <v>20251231</v>
      </c>
      <c r="E1432">
        <v>4</v>
      </c>
      <c r="F1432" t="s">
        <v>538</v>
      </c>
      <c r="G1432" t="s">
        <v>539</v>
      </c>
      <c r="H1432" t="s">
        <v>539</v>
      </c>
      <c r="I1432">
        <v>486073000</v>
      </c>
    </row>
    <row r="1433" spans="1:9" x14ac:dyDescent="0.25">
      <c r="A1433" t="s">
        <v>460</v>
      </c>
      <c r="B1433" t="s">
        <v>541</v>
      </c>
      <c r="C1433" t="s">
        <v>537</v>
      </c>
      <c r="D1433">
        <v>20251231</v>
      </c>
      <c r="E1433">
        <v>4</v>
      </c>
      <c r="F1433" t="s">
        <v>538</v>
      </c>
      <c r="G1433" t="s">
        <v>539</v>
      </c>
      <c r="H1433" t="s">
        <v>539</v>
      </c>
      <c r="I1433">
        <v>1685853000</v>
      </c>
    </row>
    <row r="1434" spans="1:9" x14ac:dyDescent="0.25">
      <c r="A1434" t="s">
        <v>462</v>
      </c>
      <c r="B1434" t="s">
        <v>544</v>
      </c>
      <c r="C1434" t="s">
        <v>537</v>
      </c>
      <c r="D1434">
        <v>20251231</v>
      </c>
      <c r="E1434">
        <v>0</v>
      </c>
      <c r="F1434" t="s">
        <v>538</v>
      </c>
      <c r="G1434" t="s">
        <v>539</v>
      </c>
      <c r="H1434" t="s">
        <v>539</v>
      </c>
      <c r="I1434">
        <v>796386000</v>
      </c>
    </row>
    <row r="1435" spans="1:9" x14ac:dyDescent="0.25">
      <c r="A1435" t="s">
        <v>464</v>
      </c>
      <c r="B1435" t="s">
        <v>542</v>
      </c>
      <c r="C1435" t="s">
        <v>537</v>
      </c>
      <c r="D1435">
        <v>20251231</v>
      </c>
      <c r="E1435">
        <v>4</v>
      </c>
      <c r="F1435" t="s">
        <v>538</v>
      </c>
      <c r="G1435" t="s">
        <v>539</v>
      </c>
      <c r="H1435" t="s">
        <v>539</v>
      </c>
      <c r="I1435">
        <v>6.28</v>
      </c>
    </row>
    <row r="1436" spans="1:9" x14ac:dyDescent="0.25">
      <c r="A1436" t="s">
        <v>468</v>
      </c>
      <c r="B1436" t="s">
        <v>543</v>
      </c>
      <c r="C1436" t="s">
        <v>537</v>
      </c>
      <c r="D1436">
        <v>20251231</v>
      </c>
      <c r="E1436">
        <v>4</v>
      </c>
      <c r="F1436" t="s">
        <v>538</v>
      </c>
      <c r="G1436" t="s">
        <v>539</v>
      </c>
      <c r="H1436" t="s">
        <v>539</v>
      </c>
      <c r="I1436">
        <v>209298000</v>
      </c>
    </row>
    <row r="1437" spans="1:9" x14ac:dyDescent="0.25">
      <c r="A1437" t="s">
        <v>470</v>
      </c>
      <c r="B1437" t="s">
        <v>540</v>
      </c>
      <c r="C1437" t="s">
        <v>537</v>
      </c>
      <c r="D1437">
        <v>20251231</v>
      </c>
      <c r="E1437">
        <v>0</v>
      </c>
      <c r="F1437" t="s">
        <v>538</v>
      </c>
      <c r="G1437" t="s">
        <v>539</v>
      </c>
      <c r="H1437" t="s">
        <v>539</v>
      </c>
      <c r="I1437">
        <v>27696333000</v>
      </c>
    </row>
    <row r="1438" spans="1:9" x14ac:dyDescent="0.25">
      <c r="A1438" t="s">
        <v>106</v>
      </c>
      <c r="B1438" t="s">
        <v>541</v>
      </c>
      <c r="C1438" t="s">
        <v>546</v>
      </c>
      <c r="D1438">
        <v>20251231</v>
      </c>
      <c r="E1438">
        <v>4</v>
      </c>
      <c r="F1438" t="s">
        <v>538</v>
      </c>
      <c r="G1438" t="s">
        <v>539</v>
      </c>
      <c r="H1438" t="s">
        <v>539</v>
      </c>
      <c r="I1438">
        <v>3783009000</v>
      </c>
    </row>
    <row r="1439" spans="1:9" x14ac:dyDescent="0.25">
      <c r="A1439" t="s">
        <v>108</v>
      </c>
      <c r="B1439" t="s">
        <v>536</v>
      </c>
      <c r="C1439" t="s">
        <v>537</v>
      </c>
      <c r="D1439">
        <v>20251231</v>
      </c>
      <c r="E1439">
        <v>0</v>
      </c>
      <c r="F1439" t="s">
        <v>538</v>
      </c>
      <c r="G1439" t="s">
        <v>539</v>
      </c>
      <c r="H1439" t="s">
        <v>539</v>
      </c>
      <c r="I1439">
        <v>1120788000</v>
      </c>
    </row>
    <row r="1440" spans="1:9" x14ac:dyDescent="0.25">
      <c r="A1440" t="s">
        <v>110</v>
      </c>
      <c r="B1440" t="s">
        <v>542</v>
      </c>
      <c r="C1440" t="s">
        <v>537</v>
      </c>
      <c r="D1440">
        <v>20251231</v>
      </c>
      <c r="E1440">
        <v>4</v>
      </c>
      <c r="F1440" t="s">
        <v>538</v>
      </c>
      <c r="G1440" t="s">
        <v>539</v>
      </c>
      <c r="H1440" t="s">
        <v>539</v>
      </c>
      <c r="I1440">
        <v>1.24</v>
      </c>
    </row>
    <row r="1441" spans="1:9" x14ac:dyDescent="0.25">
      <c r="A1441" t="s">
        <v>110</v>
      </c>
      <c r="B1441" t="s">
        <v>541</v>
      </c>
      <c r="C1441" t="s">
        <v>537</v>
      </c>
      <c r="D1441">
        <v>20251231</v>
      </c>
      <c r="E1441">
        <v>4</v>
      </c>
      <c r="F1441" t="s">
        <v>538</v>
      </c>
      <c r="G1441" t="s">
        <v>539</v>
      </c>
      <c r="H1441" t="s">
        <v>539</v>
      </c>
      <c r="I1441">
        <v>330835000</v>
      </c>
    </row>
    <row r="1442" spans="1:9" x14ac:dyDescent="0.25">
      <c r="A1442" t="s">
        <v>122</v>
      </c>
      <c r="B1442" t="s">
        <v>536</v>
      </c>
      <c r="C1442" t="s">
        <v>537</v>
      </c>
      <c r="D1442">
        <v>20251231</v>
      </c>
      <c r="E1442">
        <v>0</v>
      </c>
      <c r="F1442" t="s">
        <v>538</v>
      </c>
      <c r="G1442" t="s">
        <v>539</v>
      </c>
      <c r="H1442" t="s">
        <v>539</v>
      </c>
      <c r="I1442">
        <v>1932895000</v>
      </c>
    </row>
    <row r="1443" spans="1:9" x14ac:dyDescent="0.25">
      <c r="A1443" t="s">
        <v>122</v>
      </c>
      <c r="B1443" t="s">
        <v>543</v>
      </c>
      <c r="C1443" t="s">
        <v>537</v>
      </c>
      <c r="D1443">
        <v>20251231</v>
      </c>
      <c r="E1443">
        <v>4</v>
      </c>
      <c r="F1443" t="s">
        <v>538</v>
      </c>
      <c r="G1443" t="s">
        <v>539</v>
      </c>
      <c r="H1443" t="s">
        <v>539</v>
      </c>
      <c r="I1443">
        <v>17541000</v>
      </c>
    </row>
    <row r="1444" spans="1:9" x14ac:dyDescent="0.25">
      <c r="A1444" t="s">
        <v>124</v>
      </c>
      <c r="B1444" t="s">
        <v>543</v>
      </c>
      <c r="C1444" t="s">
        <v>537</v>
      </c>
      <c r="D1444">
        <v>20251231</v>
      </c>
      <c r="E1444">
        <v>4</v>
      </c>
      <c r="F1444" t="s">
        <v>538</v>
      </c>
      <c r="G1444" t="s">
        <v>539</v>
      </c>
      <c r="H1444" t="s">
        <v>539</v>
      </c>
      <c r="I1444">
        <v>24892000</v>
      </c>
    </row>
    <row r="1445" spans="1:9" x14ac:dyDescent="0.25">
      <c r="A1445" t="s">
        <v>130</v>
      </c>
      <c r="B1445" t="s">
        <v>540</v>
      </c>
      <c r="C1445" t="s">
        <v>537</v>
      </c>
      <c r="D1445">
        <v>20251231</v>
      </c>
      <c r="E1445">
        <v>0</v>
      </c>
      <c r="F1445" t="s">
        <v>538</v>
      </c>
      <c r="G1445" t="s">
        <v>539</v>
      </c>
      <c r="H1445" t="s">
        <v>539</v>
      </c>
      <c r="I1445">
        <v>4410551000</v>
      </c>
    </row>
    <row r="1446" spans="1:9" x14ac:dyDescent="0.25">
      <c r="A1446" t="s">
        <v>132</v>
      </c>
      <c r="B1446" t="s">
        <v>540</v>
      </c>
      <c r="C1446" t="s">
        <v>537</v>
      </c>
      <c r="D1446">
        <v>20251231</v>
      </c>
      <c r="E1446">
        <v>0</v>
      </c>
      <c r="F1446" t="s">
        <v>538</v>
      </c>
      <c r="G1446" t="s">
        <v>539</v>
      </c>
      <c r="H1446" t="s">
        <v>539</v>
      </c>
      <c r="I1446">
        <v>2285147000</v>
      </c>
    </row>
    <row r="1447" spans="1:9" x14ac:dyDescent="0.25">
      <c r="A1447" t="s">
        <v>134</v>
      </c>
      <c r="B1447" t="s">
        <v>536</v>
      </c>
      <c r="C1447" t="s">
        <v>537</v>
      </c>
      <c r="D1447">
        <v>20251231</v>
      </c>
      <c r="E1447">
        <v>0</v>
      </c>
      <c r="F1447" t="s">
        <v>538</v>
      </c>
      <c r="G1447" t="s">
        <v>539</v>
      </c>
      <c r="H1447" t="s">
        <v>539</v>
      </c>
      <c r="I1447">
        <v>1776442000</v>
      </c>
    </row>
    <row r="1448" spans="1:9" x14ac:dyDescent="0.25">
      <c r="A1448" t="s">
        <v>136</v>
      </c>
      <c r="B1448" t="s">
        <v>543</v>
      </c>
      <c r="C1448" t="s">
        <v>537</v>
      </c>
      <c r="D1448">
        <v>20251231</v>
      </c>
      <c r="E1448">
        <v>4</v>
      </c>
      <c r="F1448" t="s">
        <v>538</v>
      </c>
      <c r="G1448" t="s">
        <v>539</v>
      </c>
      <c r="H1448" t="s">
        <v>539</v>
      </c>
      <c r="I1448">
        <v>13363000</v>
      </c>
    </row>
    <row r="1449" spans="1:9" x14ac:dyDescent="0.25">
      <c r="A1449" t="s">
        <v>138</v>
      </c>
      <c r="B1449" t="s">
        <v>540</v>
      </c>
      <c r="C1449" t="s">
        <v>537</v>
      </c>
      <c r="D1449">
        <v>20251231</v>
      </c>
      <c r="E1449">
        <v>0</v>
      </c>
      <c r="F1449" t="s">
        <v>538</v>
      </c>
      <c r="G1449" t="s">
        <v>539</v>
      </c>
      <c r="H1449" t="s">
        <v>539</v>
      </c>
      <c r="I1449">
        <v>1018797000</v>
      </c>
    </row>
    <row r="1450" spans="1:9" x14ac:dyDescent="0.25">
      <c r="A1450" t="s">
        <v>140</v>
      </c>
      <c r="B1450" t="s">
        <v>542</v>
      </c>
      <c r="C1450" t="s">
        <v>537</v>
      </c>
      <c r="D1450">
        <v>20251231</v>
      </c>
      <c r="E1450">
        <v>4</v>
      </c>
      <c r="F1450" t="s">
        <v>538</v>
      </c>
      <c r="G1450" t="s">
        <v>539</v>
      </c>
      <c r="H1450" t="s">
        <v>539</v>
      </c>
      <c r="I1450">
        <v>2.4900000000000002</v>
      </c>
    </row>
    <row r="1451" spans="1:9" x14ac:dyDescent="0.25">
      <c r="A1451" t="s">
        <v>140</v>
      </c>
      <c r="B1451" t="s">
        <v>544</v>
      </c>
      <c r="C1451" t="s">
        <v>537</v>
      </c>
      <c r="D1451">
        <v>20251231</v>
      </c>
      <c r="E1451">
        <v>0</v>
      </c>
      <c r="F1451" t="s">
        <v>538</v>
      </c>
      <c r="G1451" t="s">
        <v>539</v>
      </c>
      <c r="H1451" t="s">
        <v>539</v>
      </c>
      <c r="I1451">
        <v>184908000</v>
      </c>
    </row>
    <row r="1452" spans="1:9" x14ac:dyDescent="0.25">
      <c r="A1452" t="s">
        <v>144</v>
      </c>
      <c r="B1452" t="s">
        <v>544</v>
      </c>
      <c r="C1452" t="s">
        <v>537</v>
      </c>
      <c r="D1452">
        <v>20251231</v>
      </c>
      <c r="E1452">
        <v>0</v>
      </c>
      <c r="F1452" t="s">
        <v>538</v>
      </c>
      <c r="G1452" t="s">
        <v>539</v>
      </c>
      <c r="H1452" t="s">
        <v>539</v>
      </c>
      <c r="I1452">
        <v>165755000</v>
      </c>
    </row>
    <row r="1453" spans="1:9" x14ac:dyDescent="0.25">
      <c r="A1453" t="s">
        <v>472</v>
      </c>
      <c r="B1453" t="s">
        <v>541</v>
      </c>
      <c r="C1453" t="s">
        <v>537</v>
      </c>
      <c r="D1453">
        <v>20251231</v>
      </c>
      <c r="E1453">
        <v>4</v>
      </c>
      <c r="F1453" t="s">
        <v>538</v>
      </c>
      <c r="G1453" t="s">
        <v>539</v>
      </c>
      <c r="H1453" t="s">
        <v>539</v>
      </c>
      <c r="I1453">
        <v>211481000</v>
      </c>
    </row>
    <row r="1454" spans="1:9" x14ac:dyDescent="0.25">
      <c r="A1454" t="s">
        <v>148</v>
      </c>
      <c r="B1454" t="s">
        <v>536</v>
      </c>
      <c r="C1454" t="s">
        <v>537</v>
      </c>
      <c r="D1454">
        <v>20251231</v>
      </c>
      <c r="E1454">
        <v>0</v>
      </c>
      <c r="F1454" t="s">
        <v>538</v>
      </c>
      <c r="G1454" t="s">
        <v>539</v>
      </c>
      <c r="H1454" t="s">
        <v>539</v>
      </c>
      <c r="I1454">
        <v>1404131000</v>
      </c>
    </row>
    <row r="1455" spans="1:9" x14ac:dyDescent="0.25">
      <c r="A1455" t="s">
        <v>476</v>
      </c>
      <c r="B1455" t="s">
        <v>542</v>
      </c>
      <c r="C1455" t="s">
        <v>537</v>
      </c>
      <c r="D1455">
        <v>20251231</v>
      </c>
      <c r="E1455">
        <v>4</v>
      </c>
      <c r="F1455" t="s">
        <v>538</v>
      </c>
      <c r="G1455" t="s">
        <v>539</v>
      </c>
      <c r="H1455" t="s">
        <v>539</v>
      </c>
      <c r="I1455">
        <v>4.99</v>
      </c>
    </row>
    <row r="1456" spans="1:9" x14ac:dyDescent="0.25">
      <c r="A1456" t="s">
        <v>478</v>
      </c>
      <c r="B1456" t="s">
        <v>542</v>
      </c>
      <c r="C1456" t="s">
        <v>537</v>
      </c>
      <c r="D1456">
        <v>20251231</v>
      </c>
      <c r="E1456">
        <v>4</v>
      </c>
      <c r="F1456" t="s">
        <v>538</v>
      </c>
      <c r="G1456" t="s">
        <v>539</v>
      </c>
      <c r="H1456" t="s">
        <v>539</v>
      </c>
      <c r="I1456">
        <v>2.41</v>
      </c>
    </row>
    <row r="1457" spans="1:9" x14ac:dyDescent="0.25">
      <c r="A1457" t="s">
        <v>156</v>
      </c>
      <c r="B1457" t="s">
        <v>545</v>
      </c>
      <c r="C1457" t="s">
        <v>537</v>
      </c>
      <c r="D1457">
        <v>20251231</v>
      </c>
      <c r="E1457">
        <v>4</v>
      </c>
      <c r="F1457" t="s">
        <v>538</v>
      </c>
      <c r="G1457" t="s">
        <v>539</v>
      </c>
      <c r="H1457" t="s">
        <v>539</v>
      </c>
      <c r="I1457">
        <v>380204000</v>
      </c>
    </row>
    <row r="1458" spans="1:9" x14ac:dyDescent="0.25">
      <c r="A1458" t="s">
        <v>480</v>
      </c>
      <c r="B1458" t="s">
        <v>543</v>
      </c>
      <c r="C1458" t="s">
        <v>537</v>
      </c>
      <c r="D1458">
        <v>20251231</v>
      </c>
      <c r="E1458">
        <v>4</v>
      </c>
      <c r="F1458" t="s">
        <v>538</v>
      </c>
      <c r="G1458" t="s">
        <v>539</v>
      </c>
      <c r="H1458" t="s">
        <v>539</v>
      </c>
      <c r="I1458">
        <v>5549000000</v>
      </c>
    </row>
    <row r="1459" spans="1:9" x14ac:dyDescent="0.25">
      <c r="A1459" t="s">
        <v>160</v>
      </c>
      <c r="B1459" t="s">
        <v>542</v>
      </c>
      <c r="C1459" t="s">
        <v>537</v>
      </c>
      <c r="D1459">
        <v>20251231</v>
      </c>
      <c r="E1459">
        <v>4</v>
      </c>
      <c r="F1459" t="s">
        <v>538</v>
      </c>
      <c r="G1459" t="s">
        <v>539</v>
      </c>
      <c r="H1459" t="s">
        <v>539</v>
      </c>
      <c r="I1459">
        <v>3.45</v>
      </c>
    </row>
    <row r="1460" spans="1:9" x14ac:dyDescent="0.25">
      <c r="A1460" t="s">
        <v>482</v>
      </c>
      <c r="B1460" t="s">
        <v>544</v>
      </c>
      <c r="C1460" t="s">
        <v>537</v>
      </c>
      <c r="D1460">
        <v>20251231</v>
      </c>
      <c r="E1460">
        <v>0</v>
      </c>
      <c r="F1460" t="s">
        <v>538</v>
      </c>
      <c r="G1460" t="s">
        <v>539</v>
      </c>
      <c r="H1460" t="s">
        <v>539</v>
      </c>
      <c r="I1460">
        <v>1573340000</v>
      </c>
    </row>
    <row r="1461" spans="1:9" x14ac:dyDescent="0.25">
      <c r="A1461" t="s">
        <v>484</v>
      </c>
      <c r="B1461" t="s">
        <v>543</v>
      </c>
      <c r="C1461" t="s">
        <v>537</v>
      </c>
      <c r="D1461">
        <v>20251231</v>
      </c>
      <c r="E1461">
        <v>4</v>
      </c>
      <c r="F1461" t="s">
        <v>538</v>
      </c>
      <c r="G1461" t="s">
        <v>539</v>
      </c>
      <c r="H1461" t="s">
        <v>539</v>
      </c>
      <c r="I1461">
        <v>140150000</v>
      </c>
    </row>
    <row r="1462" spans="1:9" x14ac:dyDescent="0.25">
      <c r="A1462" t="s">
        <v>164</v>
      </c>
      <c r="B1462" t="s">
        <v>541</v>
      </c>
      <c r="C1462" t="s">
        <v>537</v>
      </c>
      <c r="D1462">
        <v>20251231</v>
      </c>
      <c r="E1462">
        <v>4</v>
      </c>
      <c r="F1462" t="s">
        <v>538</v>
      </c>
      <c r="G1462" t="s">
        <v>539</v>
      </c>
      <c r="H1462" t="s">
        <v>539</v>
      </c>
      <c r="I1462">
        <v>1309260000</v>
      </c>
    </row>
    <row r="1463" spans="1:9" x14ac:dyDescent="0.25">
      <c r="A1463" t="s">
        <v>164</v>
      </c>
      <c r="B1463" t="s">
        <v>536</v>
      </c>
      <c r="C1463" t="s">
        <v>537</v>
      </c>
      <c r="D1463">
        <v>20251231</v>
      </c>
      <c r="E1463">
        <v>0</v>
      </c>
      <c r="F1463" t="s">
        <v>538</v>
      </c>
      <c r="G1463" t="s">
        <v>539</v>
      </c>
      <c r="H1463" t="s">
        <v>539</v>
      </c>
      <c r="I1463">
        <v>21304187000</v>
      </c>
    </row>
    <row r="1464" spans="1:9" x14ac:dyDescent="0.25">
      <c r="A1464" t="s">
        <v>166</v>
      </c>
      <c r="B1464" t="s">
        <v>541</v>
      </c>
      <c r="C1464" t="s">
        <v>537</v>
      </c>
      <c r="D1464">
        <v>20251231</v>
      </c>
      <c r="E1464">
        <v>4</v>
      </c>
      <c r="F1464" t="s">
        <v>538</v>
      </c>
      <c r="G1464" t="s">
        <v>539</v>
      </c>
      <c r="H1464" t="s">
        <v>539</v>
      </c>
      <c r="I1464">
        <v>279636000</v>
      </c>
    </row>
    <row r="1465" spans="1:9" x14ac:dyDescent="0.25">
      <c r="A1465" t="s">
        <v>166</v>
      </c>
      <c r="B1465" t="s">
        <v>544</v>
      </c>
      <c r="C1465" t="s">
        <v>537</v>
      </c>
      <c r="D1465">
        <v>20251231</v>
      </c>
      <c r="E1465">
        <v>0</v>
      </c>
      <c r="F1465" t="s">
        <v>538</v>
      </c>
      <c r="G1465" t="s">
        <v>539</v>
      </c>
      <c r="H1465" t="s">
        <v>539</v>
      </c>
      <c r="I1465">
        <v>564934000</v>
      </c>
    </row>
    <row r="1466" spans="1:9" x14ac:dyDescent="0.25">
      <c r="A1466" t="s">
        <v>168</v>
      </c>
      <c r="B1466" t="s">
        <v>543</v>
      </c>
      <c r="C1466" t="s">
        <v>537</v>
      </c>
      <c r="D1466">
        <v>20251231</v>
      </c>
      <c r="E1466">
        <v>4</v>
      </c>
      <c r="F1466" t="s">
        <v>538</v>
      </c>
      <c r="G1466" t="s">
        <v>539</v>
      </c>
      <c r="H1466" t="s">
        <v>539</v>
      </c>
      <c r="I1466">
        <v>54586000</v>
      </c>
    </row>
    <row r="1467" spans="1:9" x14ac:dyDescent="0.25">
      <c r="A1467" t="s">
        <v>172</v>
      </c>
      <c r="B1467" t="s">
        <v>544</v>
      </c>
      <c r="C1467" t="s">
        <v>537</v>
      </c>
      <c r="D1467">
        <v>20251231</v>
      </c>
      <c r="E1467">
        <v>0</v>
      </c>
      <c r="F1467" t="s">
        <v>538</v>
      </c>
      <c r="G1467" t="s">
        <v>539</v>
      </c>
      <c r="H1467" t="s">
        <v>539</v>
      </c>
      <c r="I1467">
        <v>191814000</v>
      </c>
    </row>
    <row r="1468" spans="1:9" x14ac:dyDescent="0.25">
      <c r="A1468" t="s">
        <v>174</v>
      </c>
      <c r="B1468" t="s">
        <v>541</v>
      </c>
      <c r="C1468" t="s">
        <v>537</v>
      </c>
      <c r="D1468">
        <v>20251231</v>
      </c>
      <c r="E1468">
        <v>4</v>
      </c>
      <c r="F1468" t="s">
        <v>538</v>
      </c>
      <c r="G1468" t="s">
        <v>539</v>
      </c>
      <c r="H1468" t="s">
        <v>539</v>
      </c>
      <c r="I1468">
        <v>221126000</v>
      </c>
    </row>
    <row r="1469" spans="1:9" x14ac:dyDescent="0.25">
      <c r="A1469" t="s">
        <v>178</v>
      </c>
      <c r="B1469" t="s">
        <v>541</v>
      </c>
      <c r="C1469" t="s">
        <v>537</v>
      </c>
      <c r="D1469">
        <v>20251231</v>
      </c>
      <c r="E1469">
        <v>4</v>
      </c>
      <c r="F1469" t="s">
        <v>538</v>
      </c>
      <c r="G1469" t="s">
        <v>539</v>
      </c>
      <c r="H1469" t="s">
        <v>539</v>
      </c>
      <c r="I1469">
        <v>102747000</v>
      </c>
    </row>
    <row r="1470" spans="1:9" x14ac:dyDescent="0.25">
      <c r="A1470" t="s">
        <v>178</v>
      </c>
      <c r="B1470" t="s">
        <v>536</v>
      </c>
      <c r="C1470" t="s">
        <v>537</v>
      </c>
      <c r="D1470">
        <v>20251231</v>
      </c>
      <c r="E1470">
        <v>0</v>
      </c>
      <c r="F1470" t="s">
        <v>538</v>
      </c>
      <c r="G1470" t="s">
        <v>539</v>
      </c>
      <c r="H1470" t="s">
        <v>539</v>
      </c>
      <c r="I1470">
        <v>1966840000</v>
      </c>
    </row>
    <row r="1471" spans="1:9" x14ac:dyDescent="0.25">
      <c r="A1471" t="s">
        <v>178</v>
      </c>
      <c r="B1471" t="s">
        <v>544</v>
      </c>
      <c r="C1471" t="s">
        <v>537</v>
      </c>
      <c r="D1471">
        <v>20251231</v>
      </c>
      <c r="E1471">
        <v>0</v>
      </c>
      <c r="F1471" t="s">
        <v>538</v>
      </c>
      <c r="G1471" t="s">
        <v>539</v>
      </c>
      <c r="H1471" t="s">
        <v>539</v>
      </c>
      <c r="I1471">
        <v>273929000</v>
      </c>
    </row>
    <row r="1472" spans="1:9" x14ac:dyDescent="0.25">
      <c r="A1472" t="s">
        <v>182</v>
      </c>
      <c r="B1472" t="s">
        <v>542</v>
      </c>
      <c r="C1472" t="s">
        <v>537</v>
      </c>
      <c r="D1472">
        <v>20251231</v>
      </c>
      <c r="E1472">
        <v>4</v>
      </c>
      <c r="F1472" t="s">
        <v>538</v>
      </c>
      <c r="G1472" t="s">
        <v>539</v>
      </c>
      <c r="H1472" t="s">
        <v>539</v>
      </c>
      <c r="I1472">
        <v>1.76</v>
      </c>
    </row>
    <row r="1473" spans="1:9" x14ac:dyDescent="0.25">
      <c r="A1473" t="s">
        <v>184</v>
      </c>
      <c r="B1473" t="s">
        <v>542</v>
      </c>
      <c r="C1473" t="s">
        <v>537</v>
      </c>
      <c r="D1473">
        <v>20251231</v>
      </c>
      <c r="E1473">
        <v>4</v>
      </c>
      <c r="F1473" t="s">
        <v>538</v>
      </c>
      <c r="G1473" t="s">
        <v>539</v>
      </c>
      <c r="H1473" t="s">
        <v>539</v>
      </c>
      <c r="I1473">
        <v>4.8899999999999997</v>
      </c>
    </row>
    <row r="1474" spans="1:9" x14ac:dyDescent="0.25">
      <c r="A1474" t="s">
        <v>186</v>
      </c>
      <c r="B1474" t="s">
        <v>542</v>
      </c>
      <c r="C1474" t="s">
        <v>537</v>
      </c>
      <c r="D1474">
        <v>20251231</v>
      </c>
      <c r="E1474">
        <v>4</v>
      </c>
      <c r="F1474" t="s">
        <v>538</v>
      </c>
      <c r="G1474" t="s">
        <v>539</v>
      </c>
      <c r="H1474" t="s">
        <v>539</v>
      </c>
      <c r="I1474">
        <v>2.2200000000000002</v>
      </c>
    </row>
    <row r="1475" spans="1:9" x14ac:dyDescent="0.25">
      <c r="A1475" t="s">
        <v>186</v>
      </c>
      <c r="B1475" t="s">
        <v>543</v>
      </c>
      <c r="C1475" t="s">
        <v>537</v>
      </c>
      <c r="D1475">
        <v>20251231</v>
      </c>
      <c r="E1475">
        <v>4</v>
      </c>
      <c r="F1475" t="s">
        <v>538</v>
      </c>
      <c r="G1475" t="s">
        <v>539</v>
      </c>
      <c r="H1475" t="s">
        <v>539</v>
      </c>
      <c r="I1475">
        <v>22904000</v>
      </c>
    </row>
    <row r="1476" spans="1:9" x14ac:dyDescent="0.25">
      <c r="A1476" t="s">
        <v>192</v>
      </c>
      <c r="B1476" t="s">
        <v>544</v>
      </c>
      <c r="C1476" t="s">
        <v>537</v>
      </c>
      <c r="D1476">
        <v>20251231</v>
      </c>
      <c r="E1476">
        <v>0</v>
      </c>
      <c r="F1476" t="s">
        <v>538</v>
      </c>
      <c r="G1476" t="s">
        <v>539</v>
      </c>
      <c r="H1476" t="s">
        <v>539</v>
      </c>
      <c r="I1476">
        <v>200455000</v>
      </c>
    </row>
    <row r="1477" spans="1:9" x14ac:dyDescent="0.25">
      <c r="A1477" t="s">
        <v>194</v>
      </c>
      <c r="B1477" t="s">
        <v>540</v>
      </c>
      <c r="C1477" t="s">
        <v>537</v>
      </c>
      <c r="D1477">
        <v>20251231</v>
      </c>
      <c r="E1477">
        <v>0</v>
      </c>
      <c r="F1477" t="s">
        <v>538</v>
      </c>
      <c r="G1477" t="s">
        <v>539</v>
      </c>
      <c r="H1477" t="s">
        <v>539</v>
      </c>
      <c r="I1477">
        <v>2037978000</v>
      </c>
    </row>
    <row r="1478" spans="1:9" x14ac:dyDescent="0.25">
      <c r="A1478" t="s">
        <v>196</v>
      </c>
      <c r="B1478" t="s">
        <v>542</v>
      </c>
      <c r="C1478" t="s">
        <v>537</v>
      </c>
      <c r="D1478">
        <v>20251231</v>
      </c>
      <c r="E1478">
        <v>4</v>
      </c>
      <c r="F1478" t="s">
        <v>538</v>
      </c>
      <c r="G1478" t="s">
        <v>539</v>
      </c>
      <c r="H1478" t="s">
        <v>539</v>
      </c>
      <c r="I1478">
        <v>2.9</v>
      </c>
    </row>
    <row r="1479" spans="1:9" x14ac:dyDescent="0.25">
      <c r="A1479" t="s">
        <v>488</v>
      </c>
      <c r="B1479" t="s">
        <v>542</v>
      </c>
      <c r="C1479" t="s">
        <v>537</v>
      </c>
      <c r="D1479">
        <v>20251231</v>
      </c>
      <c r="E1479">
        <v>4</v>
      </c>
      <c r="F1479" t="s">
        <v>538</v>
      </c>
      <c r="G1479" t="s">
        <v>539</v>
      </c>
      <c r="H1479" t="s">
        <v>539</v>
      </c>
      <c r="I1479">
        <v>3.12</v>
      </c>
    </row>
    <row r="1480" spans="1:9" x14ac:dyDescent="0.25">
      <c r="A1480" t="s">
        <v>494</v>
      </c>
      <c r="B1480" t="s">
        <v>541</v>
      </c>
      <c r="C1480" t="s">
        <v>537</v>
      </c>
      <c r="D1480">
        <v>20251231</v>
      </c>
      <c r="E1480">
        <v>4</v>
      </c>
      <c r="F1480" t="s">
        <v>538</v>
      </c>
      <c r="G1480" t="s">
        <v>539</v>
      </c>
      <c r="H1480" t="s">
        <v>539</v>
      </c>
      <c r="I1480">
        <v>574470000</v>
      </c>
    </row>
    <row r="1481" spans="1:9" x14ac:dyDescent="0.25">
      <c r="A1481" t="s">
        <v>494</v>
      </c>
      <c r="B1481" t="s">
        <v>544</v>
      </c>
      <c r="C1481" t="s">
        <v>537</v>
      </c>
      <c r="D1481">
        <v>20251231</v>
      </c>
      <c r="E1481">
        <v>0</v>
      </c>
      <c r="F1481" t="s">
        <v>538</v>
      </c>
      <c r="G1481" t="s">
        <v>539</v>
      </c>
      <c r="H1481" t="s">
        <v>539</v>
      </c>
      <c r="I1481">
        <v>1668654000</v>
      </c>
    </row>
    <row r="1482" spans="1:9" x14ac:dyDescent="0.25">
      <c r="A1482" t="s">
        <v>496</v>
      </c>
      <c r="B1482" t="s">
        <v>536</v>
      </c>
      <c r="C1482" t="s">
        <v>537</v>
      </c>
      <c r="D1482">
        <v>20251231</v>
      </c>
      <c r="E1482">
        <v>0</v>
      </c>
      <c r="F1482" t="s">
        <v>538</v>
      </c>
      <c r="G1482" t="s">
        <v>539</v>
      </c>
      <c r="H1482" t="s">
        <v>539</v>
      </c>
      <c r="I1482">
        <v>22780351000</v>
      </c>
    </row>
    <row r="1483" spans="1:9" x14ac:dyDescent="0.25">
      <c r="A1483" t="s">
        <v>496</v>
      </c>
      <c r="B1483" t="s">
        <v>543</v>
      </c>
      <c r="C1483" t="s">
        <v>537</v>
      </c>
      <c r="D1483">
        <v>20251231</v>
      </c>
      <c r="E1483">
        <v>4</v>
      </c>
      <c r="F1483" t="s">
        <v>538</v>
      </c>
      <c r="G1483" t="s">
        <v>539</v>
      </c>
      <c r="H1483" t="s">
        <v>539</v>
      </c>
      <c r="I1483">
        <v>224088000</v>
      </c>
    </row>
    <row r="1484" spans="1:9" x14ac:dyDescent="0.25">
      <c r="A1484" t="s">
        <v>498</v>
      </c>
      <c r="B1484" t="s">
        <v>541</v>
      </c>
      <c r="C1484" t="s">
        <v>537</v>
      </c>
      <c r="D1484">
        <v>20251231</v>
      </c>
      <c r="E1484">
        <v>4</v>
      </c>
      <c r="F1484" t="s">
        <v>538</v>
      </c>
      <c r="G1484" t="s">
        <v>539</v>
      </c>
      <c r="H1484" t="s">
        <v>539</v>
      </c>
      <c r="I1484">
        <v>64354000</v>
      </c>
    </row>
    <row r="1485" spans="1:9" x14ac:dyDescent="0.25">
      <c r="A1485" t="s">
        <v>500</v>
      </c>
      <c r="B1485" t="s">
        <v>536</v>
      </c>
      <c r="C1485" t="s">
        <v>537</v>
      </c>
      <c r="D1485">
        <v>20251231</v>
      </c>
      <c r="E1485">
        <v>0</v>
      </c>
      <c r="F1485" t="s">
        <v>538</v>
      </c>
      <c r="G1485" t="s">
        <v>539</v>
      </c>
      <c r="H1485" t="s">
        <v>539</v>
      </c>
      <c r="I1485">
        <v>8478037000</v>
      </c>
    </row>
    <row r="1486" spans="1:9" x14ac:dyDescent="0.25">
      <c r="A1486" t="s">
        <v>208</v>
      </c>
      <c r="B1486" t="s">
        <v>536</v>
      </c>
      <c r="C1486" t="s">
        <v>537</v>
      </c>
      <c r="D1486">
        <v>20251231</v>
      </c>
      <c r="E1486">
        <v>0</v>
      </c>
      <c r="F1486" t="s">
        <v>538</v>
      </c>
      <c r="G1486" t="s">
        <v>539</v>
      </c>
      <c r="H1486" t="s">
        <v>539</v>
      </c>
      <c r="I1486">
        <v>19489100000</v>
      </c>
    </row>
    <row r="1487" spans="1:9" x14ac:dyDescent="0.25">
      <c r="A1487" t="s">
        <v>210</v>
      </c>
      <c r="B1487" t="s">
        <v>544</v>
      </c>
      <c r="C1487" t="s">
        <v>537</v>
      </c>
      <c r="D1487">
        <v>20251231</v>
      </c>
      <c r="E1487">
        <v>0</v>
      </c>
      <c r="F1487" t="s">
        <v>538</v>
      </c>
      <c r="G1487" t="s">
        <v>539</v>
      </c>
      <c r="H1487" t="s">
        <v>539</v>
      </c>
      <c r="I1487">
        <v>167557000</v>
      </c>
    </row>
    <row r="1488" spans="1:9" x14ac:dyDescent="0.25">
      <c r="A1488" t="s">
        <v>214</v>
      </c>
      <c r="B1488" t="s">
        <v>540</v>
      </c>
      <c r="C1488" t="s">
        <v>537</v>
      </c>
      <c r="D1488">
        <v>20251231</v>
      </c>
      <c r="E1488">
        <v>0</v>
      </c>
      <c r="F1488" t="s">
        <v>538</v>
      </c>
      <c r="G1488" t="s">
        <v>539</v>
      </c>
      <c r="H1488" t="s">
        <v>539</v>
      </c>
      <c r="I1488">
        <v>2791540000</v>
      </c>
    </row>
    <row r="1489" spans="1:9" x14ac:dyDescent="0.25">
      <c r="A1489" t="s">
        <v>216</v>
      </c>
      <c r="B1489" t="s">
        <v>543</v>
      </c>
      <c r="C1489" t="s">
        <v>537</v>
      </c>
      <c r="D1489">
        <v>20251231</v>
      </c>
      <c r="E1489">
        <v>4</v>
      </c>
      <c r="F1489" t="s">
        <v>538</v>
      </c>
      <c r="G1489" t="s">
        <v>539</v>
      </c>
      <c r="H1489" t="s">
        <v>539</v>
      </c>
      <c r="I1489">
        <v>4903000</v>
      </c>
    </row>
    <row r="1490" spans="1:9" x14ac:dyDescent="0.25">
      <c r="A1490" t="s">
        <v>506</v>
      </c>
      <c r="B1490" t="s">
        <v>540</v>
      </c>
      <c r="C1490" t="s">
        <v>537</v>
      </c>
      <c r="D1490">
        <v>20251231</v>
      </c>
      <c r="E1490">
        <v>0</v>
      </c>
      <c r="F1490" t="s">
        <v>538</v>
      </c>
      <c r="G1490" t="s">
        <v>539</v>
      </c>
      <c r="H1490" t="s">
        <v>539</v>
      </c>
      <c r="I1490">
        <v>4424900000000</v>
      </c>
    </row>
    <row r="1491" spans="1:9" x14ac:dyDescent="0.25">
      <c r="A1491" t="s">
        <v>506</v>
      </c>
      <c r="B1491" t="s">
        <v>545</v>
      </c>
      <c r="C1491" t="s">
        <v>537</v>
      </c>
      <c r="D1491">
        <v>20251231</v>
      </c>
      <c r="E1491">
        <v>4</v>
      </c>
      <c r="F1491" t="s">
        <v>538</v>
      </c>
      <c r="G1491" t="s">
        <v>539</v>
      </c>
      <c r="H1491" t="s">
        <v>539</v>
      </c>
      <c r="I1491">
        <v>193341000000</v>
      </c>
    </row>
    <row r="1492" spans="1:9" x14ac:dyDescent="0.25">
      <c r="A1492" t="s">
        <v>506</v>
      </c>
      <c r="B1492" t="s">
        <v>536</v>
      </c>
      <c r="C1492" t="s">
        <v>537</v>
      </c>
      <c r="D1492">
        <v>20251231</v>
      </c>
      <c r="E1492">
        <v>0</v>
      </c>
      <c r="F1492" t="s">
        <v>538</v>
      </c>
      <c r="G1492" t="s">
        <v>539</v>
      </c>
      <c r="H1492" t="s">
        <v>539</v>
      </c>
      <c r="I1492">
        <v>4062462000000</v>
      </c>
    </row>
    <row r="1493" spans="1:9" x14ac:dyDescent="0.25">
      <c r="A1493" t="s">
        <v>508</v>
      </c>
      <c r="B1493" t="s">
        <v>540</v>
      </c>
      <c r="C1493" t="s">
        <v>537</v>
      </c>
      <c r="D1493">
        <v>20251231</v>
      </c>
      <c r="E1493">
        <v>0</v>
      </c>
      <c r="F1493" t="s">
        <v>538</v>
      </c>
      <c r="G1493" t="s">
        <v>539</v>
      </c>
      <c r="H1493" t="s">
        <v>539</v>
      </c>
      <c r="I1493">
        <v>92774000000</v>
      </c>
    </row>
    <row r="1494" spans="1:9" x14ac:dyDescent="0.25">
      <c r="A1494" t="s">
        <v>508</v>
      </c>
      <c r="B1494" t="s">
        <v>543</v>
      </c>
      <c r="C1494" t="s">
        <v>537</v>
      </c>
      <c r="D1494">
        <v>20251231</v>
      </c>
      <c r="E1494">
        <v>4</v>
      </c>
      <c r="F1494" t="s">
        <v>538</v>
      </c>
      <c r="G1494" t="s">
        <v>539</v>
      </c>
      <c r="H1494" t="s">
        <v>539</v>
      </c>
      <c r="I1494">
        <v>969000000</v>
      </c>
    </row>
    <row r="1495" spans="1:9" x14ac:dyDescent="0.25">
      <c r="A1495" t="s">
        <v>508</v>
      </c>
      <c r="B1495" t="s">
        <v>544</v>
      </c>
      <c r="C1495" t="s">
        <v>537</v>
      </c>
      <c r="D1495">
        <v>20251231</v>
      </c>
      <c r="E1495">
        <v>0</v>
      </c>
      <c r="F1495" t="s">
        <v>538</v>
      </c>
      <c r="G1495" t="s">
        <v>539</v>
      </c>
      <c r="H1495" t="s">
        <v>539</v>
      </c>
      <c r="I1495">
        <v>7653000000</v>
      </c>
    </row>
    <row r="1496" spans="1:9" x14ac:dyDescent="0.25">
      <c r="A1496" t="s">
        <v>510</v>
      </c>
      <c r="B1496" t="s">
        <v>542</v>
      </c>
      <c r="C1496" t="s">
        <v>537</v>
      </c>
      <c r="D1496">
        <v>20251231</v>
      </c>
      <c r="E1496">
        <v>4</v>
      </c>
      <c r="F1496" t="s">
        <v>538</v>
      </c>
      <c r="G1496" t="s">
        <v>539</v>
      </c>
      <c r="H1496" t="s">
        <v>539</v>
      </c>
      <c r="I1496">
        <v>1.53</v>
      </c>
    </row>
    <row r="1497" spans="1:9" x14ac:dyDescent="0.25">
      <c r="A1497" t="s">
        <v>512</v>
      </c>
      <c r="B1497" t="s">
        <v>542</v>
      </c>
      <c r="C1497" t="s">
        <v>537</v>
      </c>
      <c r="D1497">
        <v>20251231</v>
      </c>
      <c r="E1497">
        <v>4</v>
      </c>
      <c r="F1497" t="s">
        <v>538</v>
      </c>
      <c r="G1497" t="s">
        <v>539</v>
      </c>
      <c r="H1497" t="s">
        <v>539</v>
      </c>
      <c r="I1497">
        <v>-2.96</v>
      </c>
    </row>
    <row r="1498" spans="1:9" x14ac:dyDescent="0.25">
      <c r="A1498" t="s">
        <v>512</v>
      </c>
      <c r="B1498" t="s">
        <v>541</v>
      </c>
      <c r="C1498" t="s">
        <v>537</v>
      </c>
      <c r="D1498">
        <v>20251231</v>
      </c>
      <c r="E1498">
        <v>4</v>
      </c>
      <c r="F1498" t="s">
        <v>538</v>
      </c>
      <c r="G1498" t="s">
        <v>539</v>
      </c>
      <c r="H1498" t="s">
        <v>539</v>
      </c>
      <c r="I1498">
        <v>1243814000</v>
      </c>
    </row>
    <row r="1499" spans="1:9" x14ac:dyDescent="0.25">
      <c r="A1499" t="s">
        <v>514</v>
      </c>
      <c r="B1499" t="s">
        <v>536</v>
      </c>
      <c r="C1499" t="s">
        <v>537</v>
      </c>
      <c r="D1499">
        <v>20251231</v>
      </c>
      <c r="E1499">
        <v>0</v>
      </c>
      <c r="F1499" t="s">
        <v>538</v>
      </c>
      <c r="G1499" t="s">
        <v>539</v>
      </c>
      <c r="H1499" t="s">
        <v>539</v>
      </c>
      <c r="I1499">
        <v>4309029000</v>
      </c>
    </row>
    <row r="1500" spans="1:9" x14ac:dyDescent="0.25">
      <c r="A1500" t="s">
        <v>222</v>
      </c>
      <c r="B1500" t="s">
        <v>540</v>
      </c>
      <c r="C1500" t="s">
        <v>537</v>
      </c>
      <c r="D1500">
        <v>20251231</v>
      </c>
      <c r="E1500">
        <v>0</v>
      </c>
      <c r="F1500" t="s">
        <v>538</v>
      </c>
      <c r="G1500" t="s">
        <v>539</v>
      </c>
      <c r="H1500" t="s">
        <v>539</v>
      </c>
      <c r="I1500">
        <v>3690317000</v>
      </c>
    </row>
    <row r="1501" spans="1:9" x14ac:dyDescent="0.25">
      <c r="A1501" t="s">
        <v>224</v>
      </c>
      <c r="B1501" t="s">
        <v>542</v>
      </c>
      <c r="C1501" t="s">
        <v>537</v>
      </c>
      <c r="D1501">
        <v>20251231</v>
      </c>
      <c r="E1501">
        <v>4</v>
      </c>
      <c r="F1501" t="s">
        <v>538</v>
      </c>
      <c r="G1501" t="s">
        <v>539</v>
      </c>
      <c r="H1501" t="s">
        <v>539</v>
      </c>
      <c r="I1501">
        <v>3.61</v>
      </c>
    </row>
    <row r="1502" spans="1:9" x14ac:dyDescent="0.25">
      <c r="A1502" t="s">
        <v>228</v>
      </c>
      <c r="B1502" t="s">
        <v>536</v>
      </c>
      <c r="C1502" t="s">
        <v>537</v>
      </c>
      <c r="D1502">
        <v>20251231</v>
      </c>
      <c r="E1502">
        <v>0</v>
      </c>
      <c r="F1502" t="s">
        <v>538</v>
      </c>
      <c r="G1502" t="s">
        <v>539</v>
      </c>
      <c r="H1502" t="s">
        <v>539</v>
      </c>
      <c r="I1502">
        <v>2455526000</v>
      </c>
    </row>
    <row r="1503" spans="1:9" x14ac:dyDescent="0.25">
      <c r="A1503" t="s">
        <v>228</v>
      </c>
      <c r="B1503" t="s">
        <v>543</v>
      </c>
      <c r="C1503" t="s">
        <v>537</v>
      </c>
      <c r="D1503">
        <v>20251231</v>
      </c>
      <c r="E1503">
        <v>4</v>
      </c>
      <c r="F1503" t="s">
        <v>538</v>
      </c>
      <c r="G1503" t="s">
        <v>539</v>
      </c>
      <c r="H1503" t="s">
        <v>539</v>
      </c>
      <c r="I1503">
        <v>15104000</v>
      </c>
    </row>
    <row r="1504" spans="1:9" x14ac:dyDescent="0.25">
      <c r="A1504" t="s">
        <v>234</v>
      </c>
      <c r="B1504" t="s">
        <v>542</v>
      </c>
      <c r="C1504" t="s">
        <v>537</v>
      </c>
      <c r="D1504">
        <v>20251231</v>
      </c>
      <c r="E1504">
        <v>4</v>
      </c>
      <c r="F1504" t="s">
        <v>538</v>
      </c>
      <c r="G1504" t="s">
        <v>539</v>
      </c>
      <c r="H1504" t="s">
        <v>539</v>
      </c>
      <c r="I1504">
        <v>1.75</v>
      </c>
    </row>
    <row r="1505" spans="1:9" x14ac:dyDescent="0.25">
      <c r="A1505" t="s">
        <v>522</v>
      </c>
      <c r="B1505" t="s">
        <v>542</v>
      </c>
      <c r="C1505" t="s">
        <v>537</v>
      </c>
      <c r="D1505">
        <v>20251231</v>
      </c>
      <c r="E1505">
        <v>4</v>
      </c>
      <c r="F1505" t="s">
        <v>538</v>
      </c>
      <c r="G1505" t="s">
        <v>539</v>
      </c>
      <c r="H1505" t="s">
        <v>539</v>
      </c>
      <c r="I1505">
        <v>2.4700000000000002</v>
      </c>
    </row>
    <row r="1506" spans="1:9" x14ac:dyDescent="0.25">
      <c r="A1506" t="s">
        <v>242</v>
      </c>
      <c r="B1506" t="s">
        <v>544</v>
      </c>
      <c r="C1506" t="s">
        <v>537</v>
      </c>
      <c r="D1506">
        <v>20251231</v>
      </c>
      <c r="E1506">
        <v>0</v>
      </c>
      <c r="F1506" t="s">
        <v>538</v>
      </c>
      <c r="G1506" t="s">
        <v>539</v>
      </c>
      <c r="H1506" t="s">
        <v>539</v>
      </c>
      <c r="I1506">
        <v>104788000</v>
      </c>
    </row>
    <row r="1507" spans="1:9" x14ac:dyDescent="0.25">
      <c r="A1507" t="s">
        <v>244</v>
      </c>
      <c r="B1507" t="s">
        <v>541</v>
      </c>
      <c r="C1507" t="s">
        <v>537</v>
      </c>
      <c r="D1507">
        <v>20251231</v>
      </c>
      <c r="E1507">
        <v>4</v>
      </c>
      <c r="F1507" t="s">
        <v>538</v>
      </c>
      <c r="G1507" t="s">
        <v>539</v>
      </c>
      <c r="H1507" t="s">
        <v>539</v>
      </c>
      <c r="I1507">
        <v>118397000</v>
      </c>
    </row>
    <row r="1508" spans="1:9" x14ac:dyDescent="0.25">
      <c r="A1508" t="s">
        <v>246</v>
      </c>
      <c r="B1508" t="s">
        <v>540</v>
      </c>
      <c r="C1508" t="s">
        <v>537</v>
      </c>
      <c r="D1508">
        <v>20251231</v>
      </c>
      <c r="E1508">
        <v>0</v>
      </c>
      <c r="F1508" t="s">
        <v>538</v>
      </c>
      <c r="G1508" t="s">
        <v>539</v>
      </c>
      <c r="H1508" t="s">
        <v>539</v>
      </c>
      <c r="I1508">
        <v>8485162000</v>
      </c>
    </row>
    <row r="1509" spans="1:9" x14ac:dyDescent="0.25">
      <c r="A1509" t="s">
        <v>246</v>
      </c>
      <c r="B1509" t="s">
        <v>541</v>
      </c>
      <c r="C1509" t="s">
        <v>537</v>
      </c>
      <c r="D1509">
        <v>20251231</v>
      </c>
      <c r="E1509">
        <v>4</v>
      </c>
      <c r="F1509" t="s">
        <v>538</v>
      </c>
      <c r="G1509" t="s">
        <v>539</v>
      </c>
      <c r="H1509" t="s">
        <v>539</v>
      </c>
      <c r="I1509">
        <v>467769000</v>
      </c>
    </row>
    <row r="1510" spans="1:9" x14ac:dyDescent="0.25">
      <c r="A1510" t="s">
        <v>248</v>
      </c>
      <c r="B1510" t="s">
        <v>542</v>
      </c>
      <c r="C1510" t="s">
        <v>537</v>
      </c>
      <c r="D1510">
        <v>20251231</v>
      </c>
      <c r="E1510">
        <v>4</v>
      </c>
      <c r="F1510" t="s">
        <v>538</v>
      </c>
      <c r="G1510" t="s">
        <v>539</v>
      </c>
      <c r="H1510" t="s">
        <v>539</v>
      </c>
      <c r="I1510">
        <v>1.72</v>
      </c>
    </row>
    <row r="1511" spans="1:9" x14ac:dyDescent="0.25">
      <c r="A1511" t="s">
        <v>248</v>
      </c>
      <c r="B1511" t="s">
        <v>544</v>
      </c>
      <c r="C1511" t="s">
        <v>537</v>
      </c>
      <c r="D1511">
        <v>20251231</v>
      </c>
      <c r="E1511">
        <v>0</v>
      </c>
      <c r="F1511" t="s">
        <v>538</v>
      </c>
      <c r="G1511" t="s">
        <v>539</v>
      </c>
      <c r="H1511" t="s">
        <v>539</v>
      </c>
      <c r="I1511">
        <v>227893000</v>
      </c>
    </row>
    <row r="1512" spans="1:9" x14ac:dyDescent="0.25">
      <c r="A1512" t="s">
        <v>252</v>
      </c>
      <c r="B1512" t="s">
        <v>540</v>
      </c>
      <c r="C1512" t="s">
        <v>537</v>
      </c>
      <c r="D1512">
        <v>20251231</v>
      </c>
      <c r="E1512">
        <v>0</v>
      </c>
      <c r="F1512" t="s">
        <v>538</v>
      </c>
      <c r="G1512" t="s">
        <v>539</v>
      </c>
      <c r="H1512" t="s">
        <v>539</v>
      </c>
      <c r="I1512">
        <v>4768400000</v>
      </c>
    </row>
    <row r="1513" spans="1:9" x14ac:dyDescent="0.25">
      <c r="A1513" t="s">
        <v>254</v>
      </c>
      <c r="B1513" t="s">
        <v>543</v>
      </c>
      <c r="C1513" t="s">
        <v>537</v>
      </c>
      <c r="D1513">
        <v>20251231</v>
      </c>
      <c r="E1513">
        <v>4</v>
      </c>
      <c r="F1513" t="s">
        <v>538</v>
      </c>
      <c r="G1513" t="s">
        <v>539</v>
      </c>
      <c r="H1513" t="s">
        <v>539</v>
      </c>
      <c r="I1513">
        <v>21836000</v>
      </c>
    </row>
    <row r="1514" spans="1:9" x14ac:dyDescent="0.25">
      <c r="A1514" t="s">
        <v>256</v>
      </c>
      <c r="B1514" t="s">
        <v>536</v>
      </c>
      <c r="C1514" t="s">
        <v>537</v>
      </c>
      <c r="D1514">
        <v>20251231</v>
      </c>
      <c r="E1514">
        <v>0</v>
      </c>
      <c r="F1514" t="s">
        <v>538</v>
      </c>
      <c r="G1514" t="s">
        <v>539</v>
      </c>
      <c r="H1514" t="s">
        <v>539</v>
      </c>
      <c r="I1514">
        <v>3456800000</v>
      </c>
    </row>
    <row r="1515" spans="1:9" x14ac:dyDescent="0.25">
      <c r="A1515" t="s">
        <v>258</v>
      </c>
      <c r="B1515" t="s">
        <v>536</v>
      </c>
      <c r="C1515" t="s">
        <v>537</v>
      </c>
      <c r="D1515">
        <v>20251231</v>
      </c>
      <c r="E1515">
        <v>0</v>
      </c>
      <c r="F1515" t="s">
        <v>538</v>
      </c>
      <c r="G1515" t="s">
        <v>539</v>
      </c>
      <c r="H1515" t="s">
        <v>539</v>
      </c>
      <c r="I1515">
        <v>8075372000</v>
      </c>
    </row>
    <row r="1516" spans="1:9" x14ac:dyDescent="0.25">
      <c r="A1516" t="s">
        <v>262</v>
      </c>
      <c r="B1516" t="s">
        <v>536</v>
      </c>
      <c r="C1516" t="s">
        <v>537</v>
      </c>
      <c r="D1516">
        <v>20251231</v>
      </c>
      <c r="E1516">
        <v>0</v>
      </c>
      <c r="F1516" t="s">
        <v>538</v>
      </c>
      <c r="G1516" t="s">
        <v>539</v>
      </c>
      <c r="H1516" t="s">
        <v>539</v>
      </c>
      <c r="I1516">
        <v>783940000</v>
      </c>
    </row>
    <row r="1517" spans="1:9" x14ac:dyDescent="0.25">
      <c r="A1517" t="s">
        <v>262</v>
      </c>
      <c r="B1517" t="s">
        <v>543</v>
      </c>
      <c r="C1517" t="s">
        <v>537</v>
      </c>
      <c r="D1517">
        <v>20251231</v>
      </c>
      <c r="E1517">
        <v>4</v>
      </c>
      <c r="F1517" t="s">
        <v>538</v>
      </c>
      <c r="G1517" t="s">
        <v>539</v>
      </c>
      <c r="H1517" t="s">
        <v>539</v>
      </c>
      <c r="I1517">
        <v>16091000</v>
      </c>
    </row>
    <row r="1518" spans="1:9" x14ac:dyDescent="0.25">
      <c r="A1518" t="s">
        <v>264</v>
      </c>
      <c r="B1518" t="s">
        <v>540</v>
      </c>
      <c r="C1518" t="s">
        <v>537</v>
      </c>
      <c r="D1518">
        <v>20251231</v>
      </c>
      <c r="E1518">
        <v>0</v>
      </c>
      <c r="F1518" t="s">
        <v>538</v>
      </c>
      <c r="G1518" t="s">
        <v>539</v>
      </c>
      <c r="H1518" t="s">
        <v>539</v>
      </c>
      <c r="I1518">
        <v>57706053000</v>
      </c>
    </row>
    <row r="1519" spans="1:9" x14ac:dyDescent="0.25">
      <c r="A1519" t="s">
        <v>264</v>
      </c>
      <c r="B1519" t="s">
        <v>542</v>
      </c>
      <c r="C1519" t="s">
        <v>537</v>
      </c>
      <c r="D1519">
        <v>20251231</v>
      </c>
      <c r="E1519">
        <v>4</v>
      </c>
      <c r="F1519" t="s">
        <v>538</v>
      </c>
      <c r="G1519" t="s">
        <v>539</v>
      </c>
      <c r="H1519" t="s">
        <v>539</v>
      </c>
      <c r="I1519">
        <v>8.15</v>
      </c>
    </row>
    <row r="1520" spans="1:9" x14ac:dyDescent="0.25">
      <c r="A1520" t="s">
        <v>264</v>
      </c>
      <c r="B1520" t="s">
        <v>543</v>
      </c>
      <c r="C1520" t="s">
        <v>537</v>
      </c>
      <c r="D1520">
        <v>20251231</v>
      </c>
      <c r="E1520">
        <v>4</v>
      </c>
      <c r="F1520" t="s">
        <v>538</v>
      </c>
      <c r="G1520" t="s">
        <v>539</v>
      </c>
      <c r="H1520" t="s">
        <v>539</v>
      </c>
      <c r="I1520">
        <v>641865000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927D3C-989A-4113-97EB-AD0BD2DF45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State_v_National</vt:lpstr>
      <vt:lpstr>dashboard_data_raw</vt:lpstr>
      <vt:lpstr>companies</vt:lpstr>
      <vt:lpstr>financials_wide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Cellucci</dc:creator>
  <cp:lastModifiedBy>Robert Cellucci</cp:lastModifiedBy>
  <dcterms:created xsi:type="dcterms:W3CDTF">2015-06-05T18:17:20Z</dcterms:created>
  <dcterms:modified xsi:type="dcterms:W3CDTF">2026-07-24T00:59:06Z</dcterms:modified>
</cp:coreProperties>
</file>